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FBFBC7DB-7D5A-4BA1-93EE-C0B3C1F3F97B}" xr6:coauthVersionLast="47" xr6:coauthVersionMax="47" xr10:uidLastSave="{00000000-0000-0000-0000-000000000000}"/>
  <bookViews>
    <workbookView xWindow="0" yWindow="0" windowWidth="0" windowHeight="0" firstSheet="5" xr2:uid="{00000000-000D-0000-FFFF-FFFF00000000}"/>
  </bookViews>
  <sheets>
    <sheet name="START_HERE" sheetId="3" r:id="rId1"/>
    <sheet name="Dashboard" sheetId="6" r:id="rId2"/>
    <sheet name="Analysis" sheetId="5" r:id="rId3"/>
    <sheet name="Raw_Sales" sheetId="1" r:id="rId4"/>
    <sheet name="Product_Master" sheetId="2" r:id="rId5"/>
    <sheet name="Pivot_table" sheetId="4" r:id="rId6"/>
  </sheets>
  <definedNames>
    <definedName name="_xlnm._FilterDatabase" localSheetId="3" hidden="1">Raw_Sales!$A$1:$L$61</definedName>
    <definedName name="_xlnm._FilterDatabase" localSheetId="4" hidden="1">Product_Master!$A$1:$D$9</definedName>
    <definedName name="_xlnm._FilterDatabase" localSheetId="0" hidden="1">START_HERE!$A$1:$C$2</definedName>
    <definedName name="Slicer_Salesperson">#N/A</definedName>
  </definedNames>
  <calcPr calcId="191028"/>
  <pivotCaches>
    <pivotCache cacheId="768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A4" i="6"/>
  <c r="G4" i="6"/>
  <c r="E4" i="6"/>
  <c r="B31" i="5"/>
  <c r="B32" i="5"/>
  <c r="B33" i="5"/>
  <c r="B34" i="5"/>
  <c r="B35" i="5"/>
  <c r="B36" i="5"/>
  <c r="B37" i="5"/>
  <c r="B30" i="5"/>
  <c r="B25" i="5"/>
  <c r="B26" i="5"/>
  <c r="B24" i="5"/>
  <c r="B17" i="5"/>
  <c r="B18" i="5"/>
  <c r="B19" i="5"/>
  <c r="B16" i="5"/>
  <c r="B11" i="5"/>
  <c r="B12" i="5"/>
  <c r="B10" i="5"/>
  <c r="B9" i="5"/>
  <c r="B4" i="5"/>
  <c r="B3" i="5"/>
  <c r="B5" i="5" s="1"/>
  <c r="B2" i="5"/>
  <c r="M60" i="1"/>
  <c r="M12" i="1"/>
  <c r="M13" i="1"/>
  <c r="M6" i="1"/>
  <c r="M58" i="1"/>
  <c r="M25" i="1"/>
  <c r="M59" i="1"/>
  <c r="M24" i="1"/>
  <c r="M27" i="1"/>
  <c r="M23" i="1"/>
  <c r="M32" i="1"/>
  <c r="M43" i="1"/>
  <c r="M7" i="1"/>
  <c r="M57" i="1"/>
  <c r="M51" i="1"/>
  <c r="M15" i="1"/>
  <c r="M40" i="1"/>
  <c r="M54" i="1"/>
  <c r="M34" i="1"/>
  <c r="M61" i="1"/>
  <c r="M29" i="1"/>
  <c r="M3" i="1"/>
  <c r="M35" i="1"/>
  <c r="M41" i="1"/>
  <c r="M26" i="1"/>
  <c r="M4" i="1"/>
  <c r="M56" i="1"/>
  <c r="M16" i="1"/>
  <c r="M8" i="1"/>
  <c r="M36" i="1"/>
  <c r="M21" i="1"/>
  <c r="M9" i="1"/>
  <c r="M55" i="1"/>
  <c r="M22" i="1"/>
  <c r="M33" i="1"/>
  <c r="M50" i="1"/>
  <c r="M19" i="1"/>
  <c r="M52" i="1"/>
  <c r="M47" i="1"/>
  <c r="M5" i="1"/>
  <c r="M30" i="1"/>
  <c r="M42" i="1"/>
  <c r="M53" i="1"/>
  <c r="M45" i="1"/>
  <c r="M49" i="1"/>
  <c r="M2" i="1"/>
  <c r="M28" i="1"/>
  <c r="M17" i="1"/>
  <c r="M10" i="1"/>
  <c r="M14" i="1"/>
  <c r="M20" i="1"/>
  <c r="M39" i="1"/>
  <c r="M48" i="1"/>
  <c r="M44" i="1"/>
  <c r="M46" i="1"/>
  <c r="M31" i="1"/>
  <c r="M38" i="1"/>
  <c r="M18" i="1"/>
  <c r="M11" i="1"/>
  <c r="N60" i="1"/>
  <c r="N12" i="1"/>
  <c r="N13" i="1"/>
  <c r="N6" i="1"/>
  <c r="N58" i="1"/>
  <c r="N25" i="1"/>
  <c r="N59" i="1"/>
  <c r="N24" i="1"/>
  <c r="N27" i="1"/>
  <c r="N23" i="1"/>
  <c r="N32" i="1"/>
  <c r="N43" i="1"/>
  <c r="N7" i="1"/>
  <c r="N57" i="1"/>
  <c r="N51" i="1"/>
  <c r="N15" i="1"/>
  <c r="N40" i="1"/>
  <c r="N54" i="1"/>
  <c r="N34" i="1"/>
  <c r="N61" i="1"/>
  <c r="N29" i="1"/>
  <c r="N3" i="1"/>
  <c r="N35" i="1"/>
  <c r="N41" i="1"/>
  <c r="N26" i="1"/>
  <c r="N4" i="1"/>
  <c r="N56" i="1"/>
  <c r="N16" i="1"/>
  <c r="N8" i="1"/>
  <c r="N36" i="1"/>
  <c r="N21" i="1"/>
  <c r="N9" i="1"/>
  <c r="N55" i="1"/>
  <c r="N22" i="1"/>
  <c r="N33" i="1"/>
  <c r="N50" i="1"/>
  <c r="N19" i="1"/>
  <c r="N52" i="1"/>
  <c r="N47" i="1"/>
  <c r="N5" i="1"/>
  <c r="N30" i="1"/>
  <c r="N42" i="1"/>
  <c r="N53" i="1"/>
  <c r="N45" i="1"/>
  <c r="N49" i="1"/>
  <c r="N2" i="1"/>
  <c r="N28" i="1"/>
  <c r="N17" i="1"/>
  <c r="N10" i="1"/>
  <c r="N14" i="1"/>
  <c r="N20" i="1"/>
  <c r="N39" i="1"/>
  <c r="N48" i="1"/>
  <c r="N44" i="1"/>
  <c r="N46" i="1"/>
  <c r="N31" i="1"/>
  <c r="N38" i="1"/>
  <c r="N18" i="1"/>
  <c r="N11" i="1"/>
  <c r="M37" i="1"/>
  <c r="N37" i="1" l="1"/>
</calcChain>
</file>

<file path=xl/sharedStrings.xml><?xml version="1.0" encoding="utf-8"?>
<sst xmlns="http://schemas.openxmlformats.org/spreadsheetml/2006/main" count="728" uniqueCount="176">
  <si>
    <t>Sales Analytics Dashboard — Excel Portfolio Project</t>
  </si>
  <si>
    <t>Excel Portfolio Project · Data Analysis &amp; Visualization</t>
  </si>
  <si>
    <t>PROJECT OVERVIEW</t>
  </si>
  <si>
    <t>An Excel project analyzing 60 sales orders to understand completed revenue, city performance, salesperson performance, product performance, and order status.</t>
  </si>
  <si>
    <t>KEY RESULTS</t>
  </si>
  <si>
    <t>Total Orders</t>
  </si>
  <si>
    <t>Actual Revenue</t>
  </si>
  <si>
    <t>Completed Orders</t>
  </si>
  <si>
    <t>Actual AOV</t>
  </si>
  <si>
    <t>₹48,980.00</t>
  </si>
  <si>
    <t>₹1,440.59</t>
  </si>
  <si>
    <t>WORKBOOK GUIDE</t>
  </si>
  <si>
    <t>1.Dashboard</t>
  </si>
  <si>
    <t>View KPIs and charts.</t>
  </si>
  <si>
    <t>2.Analysis</t>
  </si>
  <si>
    <t>Review formula-driven summaries and metrics.</t>
  </si>
  <si>
    <t>3.Raw_Sales</t>
  </si>
  <si>
    <t>Inspect the 60 original order records and calculated fields.</t>
  </si>
  <si>
    <t>4.Product_Master</t>
  </si>
  <si>
    <t>Look up product details and prices.</t>
  </si>
  <si>
    <t>5.Pivot_table</t>
  </si>
  <si>
    <t>Explore Pivot Table summaries.</t>
  </si>
  <si>
    <r>
      <rPr>
        <b/>
        <sz val="11"/>
        <color rgb="FF000000"/>
        <rFont val="Calibri"/>
        <scheme val="minor"/>
      </rPr>
      <t>Metric definition:</t>
    </r>
    <r>
      <rPr>
        <sz val="11"/>
        <color rgb="FF000000"/>
        <rFont val="Calibri"/>
        <scheme val="minor"/>
      </rPr>
      <t xml:space="preserve"> Completed revenue includes only orders marked Completed. Total order value includes all statuses, including Pending and Cancelled.</t>
    </r>
  </si>
  <si>
    <t xml:space="preserve">     SALES ANALYTICS DASHBOARD</t>
  </si>
  <si>
    <t>KPI</t>
  </si>
  <si>
    <t>Revenue by City</t>
  </si>
  <si>
    <t>City</t>
  </si>
  <si>
    <t>Revenue</t>
  </si>
  <si>
    <t>Chennai</t>
  </si>
  <si>
    <t>Coimbatore</t>
  </si>
  <si>
    <t>Madurai</t>
  </si>
  <si>
    <t>Trichy</t>
  </si>
  <si>
    <t>Actual Revenue by Salesperson</t>
  </si>
  <si>
    <t>Salesperson</t>
  </si>
  <si>
    <t>Priya</t>
  </si>
  <si>
    <t>Arun</t>
  </si>
  <si>
    <t>Karthik</t>
  </si>
  <si>
    <t>Meena</t>
  </si>
  <si>
    <t>Orders by Status</t>
  </si>
  <si>
    <t>Status</t>
  </si>
  <si>
    <t>Orders</t>
  </si>
  <si>
    <t>Completed</t>
  </si>
  <si>
    <t>Pending</t>
  </si>
  <si>
    <t>Cancelled</t>
  </si>
  <si>
    <t>Revenue by Product</t>
  </si>
  <si>
    <t>Product</t>
  </si>
  <si>
    <t>Backpack</t>
  </si>
  <si>
    <t>Calculator</t>
  </si>
  <si>
    <t>Desk Lamp</t>
  </si>
  <si>
    <t>Notebook</t>
  </si>
  <si>
    <t>Pen Set</t>
  </si>
  <si>
    <t>USB Cable</t>
  </si>
  <si>
    <t>Water Bottle</t>
  </si>
  <si>
    <t>Wireless Mouse</t>
  </si>
  <si>
    <t>Order_ID</t>
  </si>
  <si>
    <t>Date</t>
  </si>
  <si>
    <t>Customer</t>
  </si>
  <si>
    <t>Product_ID</t>
  </si>
  <si>
    <t>Category</t>
  </si>
  <si>
    <t>Quantity</t>
  </si>
  <si>
    <t>Unit_Price</t>
  </si>
  <si>
    <t>Payment</t>
  </si>
  <si>
    <t xml:space="preserve"> Order Level</t>
  </si>
  <si>
    <t>ORD047</t>
  </si>
  <si>
    <t>Customer 10</t>
  </si>
  <si>
    <t>P006</t>
  </si>
  <si>
    <t>Home</t>
  </si>
  <si>
    <t>UPI</t>
  </si>
  <si>
    <t>ORD023</t>
  </si>
  <si>
    <t>Customer 34</t>
  </si>
  <si>
    <t>P007</t>
  </si>
  <si>
    <t>Bags</t>
  </si>
  <si>
    <t>ORD027</t>
  </si>
  <si>
    <t>Customer 07</t>
  </si>
  <si>
    <t>Cash</t>
  </si>
  <si>
    <t>ORD041</t>
  </si>
  <si>
    <t>Customer 11</t>
  </si>
  <si>
    <t>P004</t>
  </si>
  <si>
    <t>Electronics</t>
  </si>
  <si>
    <t>Card</t>
  </si>
  <si>
    <t>ORD005</t>
  </si>
  <si>
    <t>Customer 06</t>
  </si>
  <si>
    <t>ORD014</t>
  </si>
  <si>
    <t>Customer 33</t>
  </si>
  <si>
    <t>ORD030</t>
  </si>
  <si>
    <t>Customer 05</t>
  </si>
  <si>
    <t>P005</t>
  </si>
  <si>
    <t>ORD033</t>
  </si>
  <si>
    <t>Customer 28</t>
  </si>
  <si>
    <t>ORD050</t>
  </si>
  <si>
    <t>Customer 22</t>
  </si>
  <si>
    <t>ORD060</t>
  </si>
  <si>
    <t>Customer 20</t>
  </si>
  <si>
    <t>P003</t>
  </si>
  <si>
    <t>ORD003</t>
  </si>
  <si>
    <t>Customer 35</t>
  </si>
  <si>
    <t>P001</t>
  </si>
  <si>
    <t>Stationery</t>
  </si>
  <si>
    <t>ORD004</t>
  </si>
  <si>
    <t>ORD051</t>
  </si>
  <si>
    <t>Customer 03</t>
  </si>
  <si>
    <t>P002</t>
  </si>
  <si>
    <t>ORD017</t>
  </si>
  <si>
    <t>ORD029</t>
  </si>
  <si>
    <t>Customer 13</t>
  </si>
  <si>
    <t>ORD049</t>
  </si>
  <si>
    <t>Customer 27</t>
  </si>
  <si>
    <t>ORD059</t>
  </si>
  <si>
    <t>Customer 19</t>
  </si>
  <si>
    <t>ORD038</t>
  </si>
  <si>
    <t>Customer 21</t>
  </si>
  <si>
    <t>ORD052</t>
  </si>
  <si>
    <t>Customer 15</t>
  </si>
  <si>
    <t>ORD032</t>
  </si>
  <si>
    <t>Customer 04</t>
  </si>
  <si>
    <t>ORD035</t>
  </si>
  <si>
    <t>P008</t>
  </si>
  <si>
    <t>ORD011</t>
  </si>
  <si>
    <t>ORD009</t>
  </si>
  <si>
    <t>Customer 23</t>
  </si>
  <si>
    <t>ORD007</t>
  </si>
  <si>
    <t>Customer 24</t>
  </si>
  <si>
    <t>ORD026</t>
  </si>
  <si>
    <t>ORD010</t>
  </si>
  <si>
    <t>Customer 16</t>
  </si>
  <si>
    <t>ORD048</t>
  </si>
  <si>
    <t>ORD022</t>
  </si>
  <si>
    <t>ORD042</t>
  </si>
  <si>
    <t>ORD057</t>
  </si>
  <si>
    <t>ORD012</t>
  </si>
  <si>
    <t>ORD036</t>
  </si>
  <si>
    <t>ORD020</t>
  </si>
  <si>
    <t>ORD024</t>
  </si>
  <si>
    <t>ORD031</t>
  </si>
  <si>
    <t>ORD001</t>
  </si>
  <si>
    <t>Customer 18</t>
  </si>
  <si>
    <t>ORD058</t>
  </si>
  <si>
    <t>Customer 08</t>
  </si>
  <si>
    <t>ORD053</t>
  </si>
  <si>
    <t>ORD018</t>
  </si>
  <si>
    <t>ORD025</t>
  </si>
  <si>
    <t>ORD043</t>
  </si>
  <si>
    <t>Customer 14</t>
  </si>
  <si>
    <t>ORD013</t>
  </si>
  <si>
    <t>ORD055</t>
  </si>
  <si>
    <t>ORD045</t>
  </si>
  <si>
    <t>Customer 09</t>
  </si>
  <si>
    <t>ORD056</t>
  </si>
  <si>
    <t>ORD040</t>
  </si>
  <si>
    <t>ORD054</t>
  </si>
  <si>
    <t>Customer 02</t>
  </si>
  <si>
    <t>ORD046</t>
  </si>
  <si>
    <t>ORD037</t>
  </si>
  <si>
    <t>ORD016</t>
  </si>
  <si>
    <t>Customer 01</t>
  </si>
  <si>
    <t>ORD039</t>
  </si>
  <si>
    <t>ORD044</t>
  </si>
  <si>
    <t>ORD019</t>
  </si>
  <si>
    <t>ORD034</t>
  </si>
  <si>
    <t>ORD028</t>
  </si>
  <si>
    <t>ORD015</t>
  </si>
  <si>
    <t>ORD006</t>
  </si>
  <si>
    <t>Customer 30</t>
  </si>
  <si>
    <t>ORD008</t>
  </si>
  <si>
    <t>ORD002</t>
  </si>
  <si>
    <t>ORD021</t>
  </si>
  <si>
    <t>Customer 32</t>
  </si>
  <si>
    <t>Pivot 1 — Revenue by City</t>
  </si>
  <si>
    <t>Sum of Revenue</t>
  </si>
  <si>
    <t>Grand Total</t>
  </si>
  <si>
    <t>Pivot 2 — Orders by City &amp; Status</t>
  </si>
  <si>
    <t>Count of Order_ID</t>
  </si>
  <si>
    <t>Pivot 3 — Revenue by Salesperson</t>
  </si>
  <si>
    <t xml:space="preserve"> Pivot 4 - salesperson orders sold</t>
  </si>
  <si>
    <t>Pivot 5 - Actualy Revenue on completed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</si>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</sst>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₹&quot;\ #,##0.00"/>
    <numFmt numFmtId="166" formatCode="[$₹-4009]\ #,##0"/>
    <numFmt numFmtId="167" formatCode="[$₹-4009]\ #,##0.00"/>
  </numFmts>
  <fonts count="1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6"/>
      <color rgb="FF000000"/>
      <name val="Calibri"/>
    </font>
    <font>
      <b/>
      <sz val="16"/>
      <color rgb="FF000000"/>
      <name val="Calibri"/>
      <charset val="1"/>
    </font>
    <font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</font>
    <font>
      <sz val="12"/>
      <color rgb="FF000000"/>
      <name val="Calibri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2" fillId="0" borderId="0" xfId="0" applyFont="1"/>
    <xf numFmtId="0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/>
    </xf>
    <xf numFmtId="0" fontId="5" fillId="0" borderId="4" xfId="0" quotePrefix="1" applyFont="1" applyBorder="1" applyAlignment="1">
      <alignment horizontal="center" readingOrder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5" fillId="0" borderId="4" xfId="0" quotePrefix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5" fillId="0" borderId="4" xfId="0" quotePrefix="1" applyNumberFormat="1" applyFont="1" applyBorder="1" applyAlignment="1">
      <alignment horizontal="center" vertical="center" readingOrder="1"/>
    </xf>
    <xf numFmtId="165" fontId="5" fillId="0" borderId="4" xfId="0" applyNumberFormat="1" applyFont="1" applyBorder="1" applyAlignment="1">
      <alignment horizontal="center" vertical="center"/>
    </xf>
    <xf numFmtId="0" fontId="6" fillId="0" borderId="0" xfId="0" applyFont="1"/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A38324"/>
      <color rgb="FF872223"/>
      <color rgb="FF611313"/>
      <color rgb="FF2869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Revenue by City</a:t>
            </a:r>
          </a:p>
        </c:rich>
      </c:tx>
      <c:layout>
        <c:manualLayout>
          <c:xMode val="edge"/>
          <c:yMode val="edge"/>
          <c:x val="0.3157430008748906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Analysis!$A$9:$A$12</c:f>
              <c:strCache>
                <c:ptCount val="4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  <c:pt idx="3">
                  <c:v>Trichy</c:v>
                </c:pt>
              </c:strCache>
            </c:strRef>
          </c:cat>
          <c:val>
            <c:numRef>
              <c:f>Analysis!$B$9:$B$12</c:f>
              <c:numCache>
                <c:formatCode>[$₹-4009]\ #,##0</c:formatCode>
                <c:ptCount val="4"/>
                <c:pt idx="0">
                  <c:v>15950</c:v>
                </c:pt>
                <c:pt idx="1">
                  <c:v>19040</c:v>
                </c:pt>
                <c:pt idx="2">
                  <c:v>2140</c:v>
                </c:pt>
                <c:pt idx="3">
                  <c:v>11850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8-413A-8978-857F23CF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761735"/>
        <c:axId val="1666763783"/>
      </c:barChart>
      <c:catAx>
        <c:axId val="1666761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63783"/>
        <c:crosses val="autoZero"/>
        <c:auto val="1"/>
        <c:lblAlgn val="ctr"/>
        <c:lblOffset val="100"/>
        <c:noMultiLvlLbl val="0"/>
      </c:catAx>
      <c:valAx>
        <c:axId val="166676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61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Analysis!$B$23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611313"/>
            </a:solidFill>
          </c:spPr>
          <c:dPt>
            <c:idx val="0"/>
            <c:bubble3D val="0"/>
            <c:spPr>
              <a:solidFill>
                <a:srgbClr val="2869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D4-48D1-9A75-F8501BBEED71}"/>
              </c:ext>
            </c:extLst>
          </c:dPt>
          <c:dPt>
            <c:idx val="1"/>
            <c:bubble3D val="0"/>
            <c:spPr>
              <a:solidFill>
                <a:srgbClr val="A383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D4-48D1-9A75-F8501BBEED71}"/>
              </c:ext>
            </c:extLst>
          </c:dPt>
          <c:dPt>
            <c:idx val="2"/>
            <c:bubble3D val="0"/>
            <c:spPr>
              <a:solidFill>
                <a:srgbClr val="8722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8F1-47BF-99F7-CB0B1032CF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Analysis!$A$24:$A$26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Analysis!$B$24:$B$26</c:f>
              <c:numCache>
                <c:formatCode>General</c:formatCode>
                <c:ptCount val="3"/>
                <c:pt idx="0">
                  <c:v>34</c:v>
                </c:pt>
                <c:pt idx="1">
                  <c:v>14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B-426E-9099-289D38746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79598223299015"/>
          <c:y val="0.42635532627387096"/>
          <c:w val="0.17987709469008681"/>
          <c:h val="0.23276024979636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Revenue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Analysis!$A$16:$A$19</c:f>
              <c:strCache>
                <c:ptCount val="4"/>
                <c:pt idx="0">
                  <c:v>Priya</c:v>
                </c:pt>
                <c:pt idx="1">
                  <c:v>Arun</c:v>
                </c:pt>
                <c:pt idx="2">
                  <c:v>Karthik</c:v>
                </c:pt>
                <c:pt idx="3">
                  <c:v>Meena</c:v>
                </c:pt>
              </c:strCache>
            </c:strRef>
          </c:cat>
          <c:val>
            <c:numRef>
              <c:f>Analysis!$B$16:$B$19</c:f>
              <c:numCache>
                <c:formatCode>[$₹-4009]\ #,##0.00</c:formatCode>
                <c:ptCount val="4"/>
                <c:pt idx="0">
                  <c:v>20680</c:v>
                </c:pt>
                <c:pt idx="1">
                  <c:v>16150</c:v>
                </c:pt>
                <c:pt idx="2">
                  <c:v>9450</c:v>
                </c:pt>
                <c:pt idx="3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D84-490F-83AB-9D3843833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06951"/>
        <c:axId val="13909511"/>
      </c:barChart>
      <c:catAx>
        <c:axId val="13906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511"/>
        <c:crosses val="autoZero"/>
        <c:auto val="1"/>
        <c:lblAlgn val="ctr"/>
        <c:lblOffset val="100"/>
        <c:noMultiLvlLbl val="0"/>
      </c:catAx>
      <c:valAx>
        <c:axId val="1390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95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Analysis!$A$30:$A$37</c:f>
              <c:strCache>
                <c:ptCount val="8"/>
                <c:pt idx="0">
                  <c:v>Backpack</c:v>
                </c:pt>
                <c:pt idx="1">
                  <c:v>Calculator</c:v>
                </c:pt>
                <c:pt idx="2">
                  <c:v>Desk Lamp</c:v>
                </c:pt>
                <c:pt idx="3">
                  <c:v>Notebook</c:v>
                </c:pt>
                <c:pt idx="4">
                  <c:v>Pen Set</c:v>
                </c:pt>
                <c:pt idx="5">
                  <c:v>USB Cable</c:v>
                </c:pt>
                <c:pt idx="6">
                  <c:v>Water Bottle</c:v>
                </c:pt>
                <c:pt idx="7">
                  <c:v>Wireless Mouse</c:v>
                </c:pt>
              </c:strCache>
            </c:strRef>
          </c:cat>
          <c:val>
            <c:numRef>
              <c:f>Analysis!$B$30:$B$37</c:f>
              <c:numCache>
                <c:formatCode>[$₹-4009]\ #,##0.00</c:formatCode>
                <c:ptCount val="8"/>
                <c:pt idx="0">
                  <c:v>10800</c:v>
                </c:pt>
                <c:pt idx="1">
                  <c:v>6300</c:v>
                </c:pt>
                <c:pt idx="2">
                  <c:v>18900</c:v>
                </c:pt>
                <c:pt idx="3">
                  <c:v>800</c:v>
                </c:pt>
                <c:pt idx="4">
                  <c:v>750</c:v>
                </c:pt>
                <c:pt idx="5">
                  <c:v>4680</c:v>
                </c:pt>
                <c:pt idx="6">
                  <c:v>3500</c:v>
                </c:pt>
                <c:pt idx="7">
                  <c:v>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A-4B44-B271-CD6181E67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091592"/>
        <c:axId val="57093640"/>
      </c:barChart>
      <c:catAx>
        <c:axId val="57091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3640"/>
        <c:crosses val="autoZero"/>
        <c:auto val="1"/>
        <c:lblAlgn val="ctr"/>
        <c:lblOffset val="100"/>
        <c:noMultiLvlLbl val="0"/>
      </c:catAx>
      <c:valAx>
        <c:axId val="57093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159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[Sales_Analytics_Dashboard_Final.xlsx]Pivot_table!PivotTable2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Pivot_table!$B$22:$B$23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Pivot_table!$A$24:$A$28</c:f>
              <c:strCache>
                <c:ptCount val="4"/>
                <c:pt idx="0">
                  <c:v>Arun</c:v>
                </c:pt>
                <c:pt idx="1">
                  <c:v>Karthik</c:v>
                </c:pt>
                <c:pt idx="2">
                  <c:v>Meena</c:v>
                </c:pt>
                <c:pt idx="3">
                  <c:v>Priya</c:v>
                </c:pt>
              </c:strCache>
            </c:strRef>
          </c:cat>
          <c:val>
            <c:numRef>
              <c:f>Pivot_table!$B$24:$B$28</c:f>
              <c:numCache>
                <c:formatCode>"₹"\ #,##0.00</c:formatCode>
                <c:ptCount val="4"/>
                <c:pt idx="0">
                  <c:v>1550</c:v>
                </c:pt>
                <c:pt idx="1">
                  <c:v>11900</c:v>
                </c:pt>
                <c:pt idx="2">
                  <c:v>5540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B-44FF-A3BE-F61C660D3B66}"/>
            </c:ext>
          </c:extLst>
        </c:ser>
        <c:ser>
          <c:idx val="1"/>
          <c:order val="1"/>
          <c:tx>
            <c:strRef>
              <c:f>Pivot_table!$C$22:$C$23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Pivot_table!$A$24:$A$28</c:f>
              <c:strCache>
                <c:ptCount val="4"/>
                <c:pt idx="0">
                  <c:v>Arun</c:v>
                </c:pt>
                <c:pt idx="1">
                  <c:v>Karthik</c:v>
                </c:pt>
                <c:pt idx="2">
                  <c:v>Meena</c:v>
                </c:pt>
                <c:pt idx="3">
                  <c:v>Priya</c:v>
                </c:pt>
              </c:strCache>
            </c:strRef>
          </c:cat>
          <c:val>
            <c:numRef>
              <c:f>Pivot_table!$C$24:$C$28</c:f>
              <c:numCache>
                <c:formatCode>"₹"\ #,##0.00</c:formatCode>
                <c:ptCount val="4"/>
                <c:pt idx="0">
                  <c:v>16150</c:v>
                </c:pt>
                <c:pt idx="1">
                  <c:v>9450</c:v>
                </c:pt>
                <c:pt idx="2">
                  <c:v>2700</c:v>
                </c:pt>
                <c:pt idx="3">
                  <c:v>20680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1-4CA9-B3EC-7926CAA9BFA4}"/>
            </c:ext>
          </c:extLst>
        </c:ser>
        <c:ser>
          <c:idx val="2"/>
          <c:order val="2"/>
          <c:tx>
            <c:strRef>
              <c:f>Pivot_table!$D$22:$D$23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Pivot_table!$A$24:$A$28</c:f>
              <c:strCache>
                <c:ptCount val="4"/>
                <c:pt idx="0">
                  <c:v>Arun</c:v>
                </c:pt>
                <c:pt idx="1">
                  <c:v>Karthik</c:v>
                </c:pt>
                <c:pt idx="2">
                  <c:v>Meena</c:v>
                </c:pt>
                <c:pt idx="3">
                  <c:v>Priya</c:v>
                </c:pt>
              </c:strCache>
            </c:strRef>
          </c:cat>
          <c:val>
            <c:numRef>
              <c:f>Pivot_table!$D$24:$D$28</c:f>
              <c:numCache>
                <c:formatCode>"₹"\ #,##0.00</c:formatCode>
                <c:ptCount val="4"/>
                <c:pt idx="0">
                  <c:v>2150</c:v>
                </c:pt>
                <c:pt idx="1">
                  <c:v>6900</c:v>
                </c:pt>
                <c:pt idx="2">
                  <c:v>5320</c:v>
                </c:pt>
                <c:pt idx="3">
                  <c:v>4090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1-4CA9-B3EC-7926CAA9B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1253383"/>
        <c:axId val="907441671"/>
      </c:barChart>
      <c:catAx>
        <c:axId val="88125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41671"/>
        <c:crosses val="autoZero"/>
        <c:auto val="1"/>
        <c:lblAlgn val="ctr"/>
        <c:lblOffset val="100"/>
        <c:noMultiLvlLbl val="0"/>
      </c:catAx>
      <c:valAx>
        <c:axId val="907441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25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5</xdr:row>
      <xdr:rowOff>38100</xdr:rowOff>
    </xdr:from>
    <xdr:to>
      <xdr:col>3</xdr:col>
      <xdr:colOff>552450</xdr:colOff>
      <xdr:row>19</xdr:row>
      <xdr:rowOff>161925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A71B94B-1223-4EC7-B8E5-F452E5FE9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552450</xdr:colOff>
      <xdr:row>5</xdr:row>
      <xdr:rowOff>57150</xdr:rowOff>
    </xdr:from>
    <xdr:to>
      <xdr:col>8</xdr:col>
      <xdr:colOff>304800</xdr:colOff>
      <xdr:row>19</xdr:row>
      <xdr:rowOff>152400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7F20B30-FE99-44E7-A30B-E6E853BD0AE6}"/>
            </a:ext>
            <a:ext uri="{147F2762-F138-4A5C-976F-8EAC2B608ADB}">
              <a16:predDERef xmlns:a16="http://schemas.microsoft.com/office/drawing/2014/main" pred="{1A71B94B-1223-4EC7-B8E5-F452E5FE9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200025</xdr:colOff>
      <xdr:row>19</xdr:row>
      <xdr:rowOff>171450</xdr:rowOff>
    </xdr:from>
    <xdr:to>
      <xdr:col>3</xdr:col>
      <xdr:colOff>552450</xdr:colOff>
      <xdr:row>33</xdr:row>
      <xdr:rowOff>171450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428A41D0-A447-4C34-88B7-C6C0321AB610}"/>
            </a:ext>
            <a:ext uri="{147F2762-F138-4A5C-976F-8EAC2B608ADB}">
              <a16:predDERef xmlns:a16="http://schemas.microsoft.com/office/drawing/2014/main" pred="{A7F20B30-FE99-44E7-A30B-E6E853BD0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561975</xdr:colOff>
      <xdr:row>19</xdr:row>
      <xdr:rowOff>171450</xdr:rowOff>
    </xdr:from>
    <xdr:to>
      <xdr:col>8</xdr:col>
      <xdr:colOff>304800</xdr:colOff>
      <xdr:row>33</xdr:row>
      <xdr:rowOff>152400</xdr:rowOff>
    </xdr:to>
    <xdr:graphicFrame macro="">
      <xdr:nvGraphicFramePr>
        <xdr:cNvPr id="5" name="Chart 11">
          <a:extLst>
            <a:ext uri="{FF2B5EF4-FFF2-40B4-BE49-F238E27FC236}">
              <a16:creationId xmlns:a16="http://schemas.microsoft.com/office/drawing/2014/main" id="{417FF1A0-9B4E-405C-B5DD-BF31A655BF56}"/>
            </a:ext>
            <a:ext uri="{147F2762-F138-4A5C-976F-8EAC2B608ADB}">
              <a16:predDERef xmlns:a16="http://schemas.microsoft.com/office/drawing/2014/main" pred="{428A41D0-A447-4C34-88B7-C6C0321AB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19</xdr:row>
      <xdr:rowOff>180975</xdr:rowOff>
    </xdr:from>
    <xdr:to>
      <xdr:col>8</xdr:col>
      <xdr:colOff>771525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2B92D-69E9-271A-FD20-E7EB70E6B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276225</xdr:colOff>
      <xdr:row>53</xdr:row>
      <xdr:rowOff>171450</xdr:rowOff>
    </xdr:from>
    <xdr:to>
      <xdr:col>5</xdr:col>
      <xdr:colOff>561975</xdr:colOff>
      <xdr:row>62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alesperson">
              <a:extLst>
                <a:ext uri="{FF2B5EF4-FFF2-40B4-BE49-F238E27FC236}">
                  <a16:creationId xmlns:a16="http://schemas.microsoft.com/office/drawing/2014/main" id="{23E4CB3A-A792-0D3E-6EF7-0B945AF70907}"/>
                </a:ext>
                <a:ext uri="{147F2762-F138-4A5C-976F-8EAC2B608ADB}">
                  <a16:predDERef xmlns:a16="http://schemas.microsoft.com/office/drawing/2014/main" pred="{0E72B92D-69E9-271A-FD20-E7EB70E6BF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7975" y="10267950"/>
              <a:ext cx="182880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9.702893518515" createdVersion="8" refreshedVersion="8" minRefreshableVersion="3" recordCount="60" xr:uid="{8FE6EF67-EBD2-4273-9634-AED2A739360F}">
  <cacheSource type="worksheet">
    <worksheetSource name="Table1"/>
  </cacheSource>
  <cacheFields count="14">
    <cacheField name="Order_ID" numFmtId="0">
      <sharedItems/>
    </cacheField>
    <cacheField name="Date" numFmtId="164">
      <sharedItems containsSemiMixedTypes="0" containsNonDate="0" containsDate="1" containsString="0" minDate="2026-08-01T00:00:00" maxDate="2026-09-01T00:00:00"/>
    </cacheField>
    <cacheField name="Customer" numFmtId="0">
      <sharedItems/>
    </cacheField>
    <cacheField name="Product_ID" numFmtId="0">
      <sharedItems/>
    </cacheField>
    <cacheField name="Product" numFmtId="0">
      <sharedItems count="8">
        <s v="Pen Set"/>
        <s v="Notebook"/>
        <s v="Water Bottle"/>
        <s v="Wireless Mouse"/>
        <s v="Desk Lamp"/>
        <s v="USB Cable"/>
        <s v="Calculator"/>
        <s v="Backpack"/>
      </sharedItems>
    </cacheField>
    <cacheField name="Category" numFmtId="0">
      <sharedItems/>
    </cacheField>
    <cacheField name="City" numFmtId="0">
      <sharedItems count="4">
        <s v="Coimbatore"/>
        <s v="Trichy"/>
        <s v="Chennai"/>
        <s v="Madurai"/>
      </sharedItems>
    </cacheField>
    <cacheField name="Salesperson" numFmtId="0">
      <sharedItems count="4">
        <s v="Priya"/>
        <s v="Arun"/>
        <s v="Karthik"/>
        <s v="Meena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50" maxValue="1200"/>
    </cacheField>
    <cacheField name="Payment" numFmtId="0">
      <sharedItems/>
    </cacheField>
    <cacheField name="Status" numFmtId="0">
      <sharedItems count="3">
        <s v="Completed"/>
        <s v="Cancelled"/>
        <s v="Pending"/>
      </sharedItems>
    </cacheField>
    <cacheField name="Revenue" numFmtId="165">
      <sharedItems containsSemiMixedTypes="0" containsString="0" containsNumber="1" containsInteger="1" minValue="50" maxValue="6000"/>
    </cacheField>
    <cacheField name=" Order Level" numFmtId="0">
      <sharedItems/>
    </cacheField>
  </cacheFields>
  <extLst>
    <ext xmlns:x14="http://schemas.microsoft.com/office/spreadsheetml/2009/9/main" uri="{725AE2AE-9491-48be-B2B4-4EB974FC3084}">
      <x14:pivotCacheDefinition pivotCacheId="139770507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1"/>
    <d v="2026-08-24T00:00:00"/>
    <s v="Customer 18"/>
    <s v="P002"/>
    <x v="0"/>
    <s v="Stationery"/>
    <x v="0"/>
    <x v="0"/>
    <n v="1"/>
    <n v="50"/>
    <s v="UPI"/>
    <x v="0"/>
    <n v="50"/>
    <s v="low"/>
  </r>
  <r>
    <s v="ORD002"/>
    <d v="2026-08-14T00:00:00"/>
    <s v="Customer 03"/>
    <s v="P002"/>
    <x v="0"/>
    <s v="Stationery"/>
    <x v="1"/>
    <x v="1"/>
    <n v="5"/>
    <n v="50"/>
    <s v="UPI"/>
    <x v="0"/>
    <n v="250"/>
    <s v="low"/>
  </r>
  <r>
    <s v="ORD003"/>
    <d v="2026-08-07T00:00:00"/>
    <s v="Customer 35"/>
    <s v="P001"/>
    <x v="1"/>
    <s v="Stationery"/>
    <x v="2"/>
    <x v="0"/>
    <n v="5"/>
    <n v="80"/>
    <s v="Cash"/>
    <x v="1"/>
    <n v="400"/>
    <s v="low"/>
  </r>
  <r>
    <s v="ORD004"/>
    <d v="2026-08-25T00:00:00"/>
    <s v="Customer 11"/>
    <s v="P005"/>
    <x v="2"/>
    <s v="Home"/>
    <x v="2"/>
    <x v="2"/>
    <n v="1"/>
    <n v="350"/>
    <s v="Cash"/>
    <x v="0"/>
    <n v="350"/>
    <s v="low"/>
  </r>
  <r>
    <s v="ORD005"/>
    <d v="2026-08-04T00:00:00"/>
    <s v="Customer 06"/>
    <s v="P004"/>
    <x v="3"/>
    <s v="Electronics"/>
    <x v="2"/>
    <x v="1"/>
    <n v="3"/>
    <n v="650"/>
    <s v="Cash"/>
    <x v="0"/>
    <n v="1950"/>
    <s v="medium"/>
  </r>
  <r>
    <s v="ORD006"/>
    <d v="2026-08-24T00:00:00"/>
    <s v="Customer 30"/>
    <s v="P005"/>
    <x v="2"/>
    <s v="Home"/>
    <x v="1"/>
    <x v="3"/>
    <n v="1"/>
    <n v="350"/>
    <s v="UPI"/>
    <x v="1"/>
    <n v="350"/>
    <s v="low"/>
  </r>
  <r>
    <s v="ORD007"/>
    <d v="2026-08-29T00:00:00"/>
    <s v="Customer 24"/>
    <s v="P005"/>
    <x v="2"/>
    <s v="Home"/>
    <x v="0"/>
    <x v="1"/>
    <n v="5"/>
    <n v="350"/>
    <s v="UPI"/>
    <x v="0"/>
    <n v="1750"/>
    <s v="medium"/>
  </r>
  <r>
    <s v="ORD008"/>
    <d v="2026-08-28T00:00:00"/>
    <s v="Customer 15"/>
    <s v="P005"/>
    <x v="2"/>
    <s v="Home"/>
    <x v="1"/>
    <x v="3"/>
    <n v="1"/>
    <n v="350"/>
    <s v="Cash"/>
    <x v="2"/>
    <n v="350"/>
    <s v="low"/>
  </r>
  <r>
    <s v="ORD009"/>
    <d v="2026-08-12T00:00:00"/>
    <s v="Customer 23"/>
    <s v="P006"/>
    <x v="4"/>
    <s v="Home"/>
    <x v="0"/>
    <x v="2"/>
    <n v="2"/>
    <n v="900"/>
    <s v="Card"/>
    <x v="0"/>
    <n v="1800"/>
    <s v="medium"/>
  </r>
  <r>
    <s v="ORD010"/>
    <d v="2026-08-24T00:00:00"/>
    <s v="Customer 16"/>
    <s v="P003"/>
    <x v="5"/>
    <s v="Electronics"/>
    <x v="0"/>
    <x v="3"/>
    <n v="5"/>
    <n v="180"/>
    <s v="Cash"/>
    <x v="0"/>
    <n v="900"/>
    <s v="low"/>
  </r>
  <r>
    <s v="ORD011"/>
    <d v="2026-08-27T00:00:00"/>
    <s v="Customer 04"/>
    <s v="P004"/>
    <x v="3"/>
    <s v="Electronics"/>
    <x v="0"/>
    <x v="1"/>
    <n v="3"/>
    <n v="650"/>
    <s v="Cash"/>
    <x v="2"/>
    <n v="1950"/>
    <s v="medium"/>
  </r>
  <r>
    <s v="ORD012"/>
    <d v="2026-08-07T00:00:00"/>
    <s v="Customer 21"/>
    <s v="P005"/>
    <x v="2"/>
    <s v="Home"/>
    <x v="0"/>
    <x v="3"/>
    <n v="1"/>
    <n v="350"/>
    <s v="Cash"/>
    <x v="2"/>
    <n v="350"/>
    <s v="low"/>
  </r>
  <r>
    <s v="ORD013"/>
    <d v="2026-08-05T00:00:00"/>
    <s v="Customer 16"/>
    <s v="P003"/>
    <x v="5"/>
    <s v="Electronics"/>
    <x v="3"/>
    <x v="3"/>
    <n v="3"/>
    <n v="180"/>
    <s v="Card"/>
    <x v="2"/>
    <n v="540"/>
    <s v="low"/>
  </r>
  <r>
    <s v="ORD014"/>
    <d v="2026-08-05T00:00:00"/>
    <s v="Customer 33"/>
    <s v="P006"/>
    <x v="4"/>
    <s v="Home"/>
    <x v="2"/>
    <x v="1"/>
    <n v="2"/>
    <n v="900"/>
    <s v="UPI"/>
    <x v="0"/>
    <n v="1800"/>
    <s v="medium"/>
  </r>
  <r>
    <s v="ORD015"/>
    <d v="2026-08-26T00:00:00"/>
    <s v="Customer 28"/>
    <s v="P003"/>
    <x v="5"/>
    <s v="Electronics"/>
    <x v="1"/>
    <x v="3"/>
    <n v="2"/>
    <n v="180"/>
    <s v="Cash"/>
    <x v="1"/>
    <n v="360"/>
    <s v="low"/>
  </r>
  <r>
    <s v="ORD016"/>
    <d v="2026-08-09T00:00:00"/>
    <s v="Customer 01"/>
    <s v="P008"/>
    <x v="6"/>
    <s v="Electronics"/>
    <x v="1"/>
    <x v="2"/>
    <n v="5"/>
    <n v="450"/>
    <s v="Card"/>
    <x v="0"/>
    <n v="2250"/>
    <s v="high"/>
  </r>
  <r>
    <s v="ORD017"/>
    <d v="2026-08-14T00:00:00"/>
    <s v="Customer 11"/>
    <s v="P002"/>
    <x v="0"/>
    <s v="Stationery"/>
    <x v="2"/>
    <x v="1"/>
    <n v="3"/>
    <n v="50"/>
    <s v="Card"/>
    <x v="0"/>
    <n v="150"/>
    <s v="low"/>
  </r>
  <r>
    <s v="ORD018"/>
    <d v="2026-08-30T00:00:00"/>
    <s v="Customer 07"/>
    <s v="P003"/>
    <x v="5"/>
    <s v="Electronics"/>
    <x v="3"/>
    <x v="0"/>
    <n v="5"/>
    <n v="180"/>
    <s v="UPI"/>
    <x v="0"/>
    <n v="900"/>
    <s v="low"/>
  </r>
  <r>
    <s v="ORD019"/>
    <d v="2026-08-31T00:00:00"/>
    <s v="Customer 34"/>
    <s v="P003"/>
    <x v="5"/>
    <s v="Electronics"/>
    <x v="1"/>
    <x v="2"/>
    <n v="5"/>
    <n v="180"/>
    <s v="Cash"/>
    <x v="0"/>
    <n v="900"/>
    <s v="low"/>
  </r>
  <r>
    <s v="ORD020"/>
    <d v="2026-08-29T00:00:00"/>
    <s v="Customer 20"/>
    <s v="P002"/>
    <x v="0"/>
    <s v="Stationery"/>
    <x v="0"/>
    <x v="1"/>
    <n v="3"/>
    <n v="50"/>
    <s v="UPI"/>
    <x v="1"/>
    <n v="150"/>
    <s v="low"/>
  </r>
  <r>
    <s v="ORD021"/>
    <d v="2026-08-24T00:00:00"/>
    <s v="Customer 32"/>
    <s v="P002"/>
    <x v="0"/>
    <s v="Stationery"/>
    <x v="1"/>
    <x v="0"/>
    <n v="1"/>
    <n v="50"/>
    <s v="UPI"/>
    <x v="2"/>
    <n v="50"/>
    <s v="low"/>
  </r>
  <r>
    <s v="ORD022"/>
    <d v="2026-08-17T00:00:00"/>
    <s v="Customer 28"/>
    <s v="P003"/>
    <x v="5"/>
    <s v="Electronics"/>
    <x v="0"/>
    <x v="0"/>
    <n v="3"/>
    <n v="180"/>
    <s v="Card"/>
    <x v="0"/>
    <n v="540"/>
    <s v="low"/>
  </r>
  <r>
    <s v="ORD023"/>
    <d v="2026-08-15T00:00:00"/>
    <s v="Customer 34"/>
    <s v="P007"/>
    <x v="7"/>
    <s v="Bags"/>
    <x v="2"/>
    <x v="1"/>
    <n v="3"/>
    <n v="1200"/>
    <s v="UPI"/>
    <x v="0"/>
    <n v="3600"/>
    <s v="high"/>
  </r>
  <r>
    <s v="ORD024"/>
    <d v="2026-08-01T00:00:00"/>
    <s v="Customer 15"/>
    <s v="P002"/>
    <x v="0"/>
    <s v="Stationery"/>
    <x v="0"/>
    <x v="1"/>
    <n v="3"/>
    <n v="50"/>
    <s v="UPI"/>
    <x v="0"/>
    <n v="150"/>
    <s v="low"/>
  </r>
  <r>
    <s v="ORD025"/>
    <d v="2026-08-29T00:00:00"/>
    <s v="Customer 03"/>
    <s v="P004"/>
    <x v="3"/>
    <s v="Electronics"/>
    <x v="3"/>
    <x v="1"/>
    <n v="1"/>
    <n v="650"/>
    <s v="Card"/>
    <x v="0"/>
    <n v="650"/>
    <s v="low"/>
  </r>
  <r>
    <s v="ORD026"/>
    <d v="2026-08-07T00:00:00"/>
    <s v="Customer 35"/>
    <s v="P005"/>
    <x v="2"/>
    <s v="Home"/>
    <x v="0"/>
    <x v="3"/>
    <n v="4"/>
    <n v="350"/>
    <s v="UPI"/>
    <x v="2"/>
    <n v="1400"/>
    <s v="medium"/>
  </r>
  <r>
    <s v="ORD027"/>
    <d v="2026-08-04T00:00:00"/>
    <s v="Customer 07"/>
    <s v="P007"/>
    <x v="7"/>
    <s v="Bags"/>
    <x v="2"/>
    <x v="2"/>
    <n v="2"/>
    <n v="1200"/>
    <s v="Cash"/>
    <x v="2"/>
    <n v="2400"/>
    <s v="high"/>
  </r>
  <r>
    <s v="ORD028"/>
    <d v="2026-08-22T00:00:00"/>
    <s v="Customer 07"/>
    <s v="P008"/>
    <x v="6"/>
    <s v="Electronics"/>
    <x v="1"/>
    <x v="3"/>
    <n v="1"/>
    <n v="450"/>
    <s v="Card"/>
    <x v="0"/>
    <n v="450"/>
    <s v="low"/>
  </r>
  <r>
    <s v="ORD029"/>
    <d v="2026-08-07T00:00:00"/>
    <s v="Customer 13"/>
    <s v="P002"/>
    <x v="0"/>
    <s v="Stationery"/>
    <x v="2"/>
    <x v="0"/>
    <n v="2"/>
    <n v="50"/>
    <s v="Cash"/>
    <x v="0"/>
    <n v="100"/>
    <s v="low"/>
  </r>
  <r>
    <s v="ORD030"/>
    <d v="2026-08-08T00:00:00"/>
    <s v="Customer 05"/>
    <s v="P005"/>
    <x v="2"/>
    <s v="Home"/>
    <x v="2"/>
    <x v="1"/>
    <n v="4"/>
    <n v="350"/>
    <s v="UPI"/>
    <x v="1"/>
    <n v="1400"/>
    <s v="medium"/>
  </r>
  <r>
    <s v="ORD031"/>
    <d v="2026-08-30T00:00:00"/>
    <s v="Customer 16"/>
    <s v="P001"/>
    <x v="1"/>
    <s v="Stationery"/>
    <x v="0"/>
    <x v="3"/>
    <n v="1"/>
    <n v="80"/>
    <s v="Cash"/>
    <x v="2"/>
    <n v="80"/>
    <s v="low"/>
  </r>
  <r>
    <s v="ORD032"/>
    <d v="2026-08-29T00:00:00"/>
    <s v="Customer 04"/>
    <s v="P004"/>
    <x v="3"/>
    <s v="Electronics"/>
    <x v="0"/>
    <x v="3"/>
    <n v="4"/>
    <n v="650"/>
    <s v="UPI"/>
    <x v="2"/>
    <n v="2600"/>
    <s v="high"/>
  </r>
  <r>
    <s v="ORD033"/>
    <d v="2026-08-10T00:00:00"/>
    <s v="Customer 28"/>
    <s v="P005"/>
    <x v="2"/>
    <s v="Home"/>
    <x v="2"/>
    <x v="0"/>
    <n v="4"/>
    <n v="350"/>
    <s v="UPI"/>
    <x v="0"/>
    <n v="1400"/>
    <s v="medium"/>
  </r>
  <r>
    <s v="ORD034"/>
    <d v="2026-08-19T00:00:00"/>
    <s v="Customer 35"/>
    <s v="P004"/>
    <x v="3"/>
    <s v="Electronics"/>
    <x v="1"/>
    <x v="2"/>
    <n v="1"/>
    <n v="650"/>
    <s v="UPI"/>
    <x v="0"/>
    <n v="650"/>
    <s v="low"/>
  </r>
  <r>
    <s v="ORD035"/>
    <d v="2026-08-30T00:00:00"/>
    <s v="Customer 34"/>
    <s v="P008"/>
    <x v="6"/>
    <s v="Electronics"/>
    <x v="0"/>
    <x v="1"/>
    <n v="5"/>
    <n v="450"/>
    <s v="Card"/>
    <x v="0"/>
    <n v="2250"/>
    <s v="high"/>
  </r>
  <r>
    <s v="ORD036"/>
    <d v="2026-08-20T00:00:00"/>
    <s v="Customer 05"/>
    <s v="P003"/>
    <x v="5"/>
    <s v="Electronics"/>
    <x v="0"/>
    <x v="3"/>
    <n v="1"/>
    <n v="180"/>
    <s v="UPI"/>
    <x v="1"/>
    <n v="180"/>
    <s v="low"/>
  </r>
  <r>
    <s v="ORD037"/>
    <d v="2026-08-20T00:00:00"/>
    <s v="Customer 03"/>
    <s v="P004"/>
    <x v="3"/>
    <s v="Electronics"/>
    <x v="1"/>
    <x v="3"/>
    <n v="5"/>
    <n v="650"/>
    <s v="Card"/>
    <x v="1"/>
    <n v="3250"/>
    <s v="high"/>
  </r>
  <r>
    <s v="ORD038"/>
    <d v="2026-08-07T00:00:00"/>
    <s v="Customer 21"/>
    <s v="P006"/>
    <x v="4"/>
    <s v="Home"/>
    <x v="0"/>
    <x v="2"/>
    <n v="3"/>
    <n v="900"/>
    <s v="Cash"/>
    <x v="0"/>
    <n v="2700"/>
    <s v="high"/>
  </r>
  <r>
    <s v="ORD039"/>
    <d v="2026-08-11T00:00:00"/>
    <s v="Customer 05"/>
    <s v="P005"/>
    <x v="2"/>
    <s v="Home"/>
    <x v="1"/>
    <x v="3"/>
    <n v="4"/>
    <n v="350"/>
    <s v="Card"/>
    <x v="1"/>
    <n v="1400"/>
    <s v="medium"/>
  </r>
  <r>
    <s v="ORD040"/>
    <d v="2026-08-18T00:00:00"/>
    <s v="Customer 14"/>
    <s v="P002"/>
    <x v="0"/>
    <s v="Stationery"/>
    <x v="3"/>
    <x v="0"/>
    <n v="1"/>
    <n v="50"/>
    <s v="Cash"/>
    <x v="0"/>
    <n v="50"/>
    <s v="low"/>
  </r>
  <r>
    <s v="ORD041"/>
    <d v="2026-08-10T00:00:00"/>
    <s v="Customer 11"/>
    <s v="P004"/>
    <x v="3"/>
    <s v="Electronics"/>
    <x v="2"/>
    <x v="2"/>
    <n v="3"/>
    <n v="650"/>
    <s v="Card"/>
    <x v="1"/>
    <n v="1950"/>
    <s v="medium"/>
  </r>
  <r>
    <s v="ORD042"/>
    <d v="2026-08-10T00:00:00"/>
    <s v="Customer 07"/>
    <s v="P001"/>
    <x v="1"/>
    <s v="Stationery"/>
    <x v="0"/>
    <x v="2"/>
    <n v="5"/>
    <n v="80"/>
    <s v="UPI"/>
    <x v="0"/>
    <n v="400"/>
    <s v="low"/>
  </r>
  <r>
    <s v="ORD043"/>
    <d v="2026-08-10T00:00:00"/>
    <s v="Customer 14"/>
    <s v="P003"/>
    <x v="5"/>
    <s v="Electronics"/>
    <x v="3"/>
    <x v="0"/>
    <n v="3"/>
    <n v="180"/>
    <s v="Card"/>
    <x v="0"/>
    <n v="540"/>
    <s v="low"/>
  </r>
  <r>
    <s v="ORD044"/>
    <d v="2026-08-29T00:00:00"/>
    <s v="Customer 04"/>
    <s v="P008"/>
    <x v="6"/>
    <s v="Electronics"/>
    <x v="1"/>
    <x v="3"/>
    <n v="3"/>
    <n v="450"/>
    <s v="Cash"/>
    <x v="0"/>
    <n v="1350"/>
    <s v="medium"/>
  </r>
  <r>
    <s v="ORD045"/>
    <d v="2026-08-25T00:00:00"/>
    <s v="Customer 09"/>
    <s v="P001"/>
    <x v="1"/>
    <s v="Stationery"/>
    <x v="3"/>
    <x v="0"/>
    <n v="3"/>
    <n v="80"/>
    <s v="Card"/>
    <x v="2"/>
    <n v="240"/>
    <s v="low"/>
  </r>
  <r>
    <s v="ORD046"/>
    <d v="2026-08-01T00:00:00"/>
    <s v="Customer 08"/>
    <s v="P007"/>
    <x v="7"/>
    <s v="Bags"/>
    <x v="1"/>
    <x v="0"/>
    <n v="5"/>
    <n v="1200"/>
    <s v="Card"/>
    <x v="0"/>
    <n v="6000"/>
    <s v="high"/>
  </r>
  <r>
    <s v="ORD047"/>
    <d v="2026-08-18T00:00:00"/>
    <s v="Customer 10"/>
    <s v="P006"/>
    <x v="4"/>
    <s v="Home"/>
    <x v="2"/>
    <x v="0"/>
    <n v="5"/>
    <n v="900"/>
    <s v="UPI"/>
    <x v="0"/>
    <n v="4500"/>
    <s v="high"/>
  </r>
  <r>
    <s v="ORD048"/>
    <d v="2026-08-29T00:00:00"/>
    <s v="Customer 23"/>
    <s v="P006"/>
    <x v="4"/>
    <s v="Home"/>
    <x v="0"/>
    <x v="0"/>
    <n v="1"/>
    <n v="900"/>
    <s v="Card"/>
    <x v="0"/>
    <n v="900"/>
    <s v="low"/>
  </r>
  <r>
    <s v="ORD049"/>
    <d v="2026-08-29T00:00:00"/>
    <s v="Customer 27"/>
    <s v="P006"/>
    <x v="4"/>
    <s v="Home"/>
    <x v="0"/>
    <x v="0"/>
    <n v="5"/>
    <n v="900"/>
    <s v="UPI"/>
    <x v="0"/>
    <n v="4500"/>
    <s v="high"/>
  </r>
  <r>
    <s v="ORD050"/>
    <d v="2026-08-06T00:00:00"/>
    <s v="Customer 22"/>
    <s v="P007"/>
    <x v="7"/>
    <s v="Bags"/>
    <x v="2"/>
    <x v="0"/>
    <n v="1"/>
    <n v="1200"/>
    <s v="Cash"/>
    <x v="0"/>
    <n v="1200"/>
    <s v="medium"/>
  </r>
  <r>
    <s v="ORD051"/>
    <d v="2026-08-28T00:00:00"/>
    <s v="Customer 03"/>
    <s v="P002"/>
    <x v="0"/>
    <s v="Stationery"/>
    <x v="2"/>
    <x v="0"/>
    <n v="4"/>
    <n v="50"/>
    <s v="UPI"/>
    <x v="2"/>
    <n v="200"/>
    <s v="low"/>
  </r>
  <r>
    <s v="ORD052"/>
    <d v="2026-08-27T00:00:00"/>
    <s v="Customer 15"/>
    <s v="P006"/>
    <x v="4"/>
    <s v="Home"/>
    <x v="0"/>
    <x v="1"/>
    <n v="3"/>
    <n v="900"/>
    <s v="Card"/>
    <x v="0"/>
    <n v="2700"/>
    <s v="high"/>
  </r>
  <r>
    <s v="ORD053"/>
    <d v="2026-08-09T00:00:00"/>
    <s v="Customer 05"/>
    <s v="P007"/>
    <x v="7"/>
    <s v="Bags"/>
    <x v="3"/>
    <x v="2"/>
    <n v="3"/>
    <n v="1200"/>
    <s v="Card"/>
    <x v="1"/>
    <n v="3600"/>
    <s v="high"/>
  </r>
  <r>
    <s v="ORD054"/>
    <d v="2026-08-11T00:00:00"/>
    <s v="Customer 02"/>
    <s v="P007"/>
    <x v="7"/>
    <s v="Bags"/>
    <x v="1"/>
    <x v="2"/>
    <n v="5"/>
    <n v="1200"/>
    <s v="UPI"/>
    <x v="1"/>
    <n v="6000"/>
    <s v="high"/>
  </r>
  <r>
    <s v="ORD055"/>
    <d v="2026-08-04T00:00:00"/>
    <s v="Customer 28"/>
    <s v="P005"/>
    <x v="2"/>
    <s v="Home"/>
    <x v="3"/>
    <x v="2"/>
    <n v="1"/>
    <n v="350"/>
    <s v="Cash"/>
    <x v="1"/>
    <n v="350"/>
    <s v="low"/>
  </r>
  <r>
    <s v="ORD056"/>
    <d v="2026-08-29T00:00:00"/>
    <s v="Customer 13"/>
    <s v="P002"/>
    <x v="0"/>
    <s v="Stationery"/>
    <x v="3"/>
    <x v="1"/>
    <n v="4"/>
    <n v="50"/>
    <s v="Card"/>
    <x v="2"/>
    <n v="200"/>
    <s v="low"/>
  </r>
  <r>
    <s v="ORD057"/>
    <d v="2026-08-30T00:00:00"/>
    <s v="Customer 35"/>
    <s v="P001"/>
    <x v="1"/>
    <s v="Stationery"/>
    <x v="0"/>
    <x v="2"/>
    <n v="5"/>
    <n v="80"/>
    <s v="Cash"/>
    <x v="0"/>
    <n v="400"/>
    <s v="low"/>
  </r>
  <r>
    <s v="ORD058"/>
    <d v="2026-08-11T00:00:00"/>
    <s v="Customer 08"/>
    <s v="P006"/>
    <x v="4"/>
    <s v="Home"/>
    <x v="3"/>
    <x v="2"/>
    <n v="5"/>
    <n v="900"/>
    <s v="Card"/>
    <x v="2"/>
    <n v="4500"/>
    <s v="high"/>
  </r>
  <r>
    <s v="ORD059"/>
    <d v="2026-08-23T00:00:00"/>
    <s v="Customer 19"/>
    <s v="P006"/>
    <x v="4"/>
    <s v="Home"/>
    <x v="0"/>
    <x v="0"/>
    <n v="4"/>
    <n v="900"/>
    <s v="Cash"/>
    <x v="2"/>
    <n v="3600"/>
    <s v="high"/>
  </r>
  <r>
    <s v="ORD060"/>
    <d v="2026-08-19T00:00:00"/>
    <s v="Customer 20"/>
    <s v="P003"/>
    <x v="5"/>
    <s v="Electronics"/>
    <x v="2"/>
    <x v="1"/>
    <n v="5"/>
    <n v="180"/>
    <s v="Cash"/>
    <x v="0"/>
    <n v="90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D00EA-6BFD-4104-8DD2-C12F84654EAF}" name="PivotTable6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5:C61" firstHeaderRow="0" firstDataRow="1" firstDataCol="1" rowPageCount="2" colPageCount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4"/>
        <item x="1"/>
        <item x="0"/>
        <item x="5"/>
        <item x="2"/>
        <item x="3"/>
        <item t="default"/>
      </items>
    </pivotField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axis="axisPage" compact="0" outline="0" multipleItemSelectionAllowed="1" showAll="0">
      <items count="5">
        <item h="1" x="1"/>
        <item h="1" x="2"/>
        <item h="1" x="3"/>
        <item x="0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dataField="1" compact="0" numFmtId="165" outline="0" showAll="0"/>
    <pivotField compact="0" outline="0" showAll="0"/>
  </pivotFields>
  <rowFields count="1">
    <field x="4"/>
  </rowFields>
  <rowItems count="6">
    <i>
      <x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11" item="1" hier="-1"/>
  </pageFields>
  <dataFields count="2">
    <dataField name="Sum of Quantity" fld="8" baseField="0" baseItem="0"/>
    <dataField name="Sum of Reven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AE132-04BC-439B-8559-0D353D587AD9}" name="PivotTable2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2:E28" firstHeaderRow="1" firstDataRow="2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dataField="1" compact="0" numFmtId="165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Revenue" fld="12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BDB3A-71C5-4250-B807-764C848C6F0D}" name="PivotTable5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4:B49" firstHeaderRow="1" firstDataRow="1" firstDataCol="1" rowPageCount="1" colPageCount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dataField="1" compact="0" numFmtId="165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1" item="1" hier="-1"/>
  </pageFields>
  <dataFields count="1">
    <dataField name="Sum of Reven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58401-2B01-4ADF-A5DA-2D7ACFC60BDF}" name="PivotTable4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5:C40" firstHeaderRow="0" firstDataRow="1" firstDataCol="1"/>
  <pivotFields count="14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dataField="1" compact="0" numFmtId="165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Reven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C6B75-E80B-4328-B280-AC4A2F93A680}" name="PivotTable3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dataField="1" compact="0" numFmtId="165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09905-38A3-4E55-B424-408F8CEC6FCB}" name="PivotTable1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E19" firstHeaderRow="1" firstDataRow="2" firstDataCol="1"/>
  <pivotFields count="14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numFmtId="165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5C7BA-9769-4D85-A09B-895E656B67CD}" name="PivotTable7" cacheId="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7:J73" firstHeaderRow="1" firstDataRow="2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axis="axisCol" compact="0" outline="0" showAll="0">
      <items count="9">
        <item x="7"/>
        <item x="6"/>
        <item x="4"/>
        <item x="1"/>
        <item x="0"/>
        <item x="5"/>
        <item x="2"/>
        <item x="3"/>
        <item t="default"/>
      </items>
    </pivotField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dataField="1" compact="0" numFmtId="165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en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" xr10:uid="{2EBE266B-13D2-432A-87E7-BD253B2F1FCD}" sourceName="Salesperson">
  <pivotTables>
    <pivotTable tabId="4" name="PivotTable6"/>
  </pivotTables>
  <data>
    <tabular pivotCacheId="1397705078">
      <items count="4">
        <i x="1"/>
        <i x="2"/>
        <i x="3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person" xr10:uid="{D70D8241-F74F-4823-A31F-0E203F1DDEB7}" cache="Slicer_Salesperson" caption="Salesper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20D42-CDE6-4DA9-891C-DE0C5967CA52}" name="Table1" displayName="Table1" ref="A1:N61" totalsRowShown="0" headerRowDxfId="2">
  <autoFilter ref="A1:N61" xr:uid="{4C220D42-CDE6-4DA9-891C-DE0C5967CA52}"/>
  <sortState xmlns:xlrd2="http://schemas.microsoft.com/office/spreadsheetml/2017/richdata2" ref="A2:N61">
    <sortCondition ref="G2:G61"/>
    <sortCondition descending="1" ref="M2:M61"/>
  </sortState>
  <tableColumns count="14">
    <tableColumn id="1" xr3:uid="{DC8897DB-A11B-480B-B6A7-842945A1AF91}" name="Order_ID"/>
    <tableColumn id="2" xr3:uid="{F59CD693-9A67-4942-8AA3-7E636531E45B}" name="Date" dataDxfId="1"/>
    <tableColumn id="3" xr3:uid="{796258DD-771A-49E4-B45C-C120AF218E84}" name="Customer"/>
    <tableColumn id="4" xr3:uid="{DFF11B86-6734-433B-9BE9-5023EEAAD54D}" name="Product_ID"/>
    <tableColumn id="5" xr3:uid="{ED23BC31-5043-47B7-8B56-521F1897B512}" name="Product"/>
    <tableColumn id="6" xr3:uid="{8C4BF413-1C0D-4A39-BACA-6C849D6788FD}" name="Category"/>
    <tableColumn id="7" xr3:uid="{017D30BA-0E4D-4057-BB54-54F15D236632}" name="City"/>
    <tableColumn id="8" xr3:uid="{209E4720-9279-44F7-AECC-8FC608AEA92A}" name="Salesperson"/>
    <tableColumn id="9" xr3:uid="{BF04BD2A-AB2D-416B-B1B3-E6C1AB93410E}" name="Quantity"/>
    <tableColumn id="10" xr3:uid="{34EFAD27-6280-4835-BB83-86ECECD157A7}" name="Unit_Price"/>
    <tableColumn id="11" xr3:uid="{9079BAE7-F9C5-4D8D-84DE-980E21192E1F}" name="Payment"/>
    <tableColumn id="12" xr3:uid="{47B5B2F0-BCD6-432B-A1CF-261EEF570B16}" name="Status"/>
    <tableColumn id="13" xr3:uid="{AC7AF673-4370-459C-A662-10E870DD7AEE}" name="Revenue">
      <calculatedColumnFormula xml:space="preserve"> I2 * J2</calculatedColumnFormula>
    </tableColumn>
    <tableColumn id="14" xr3:uid="{08F9B70B-3B59-4CB9-9BC1-5EA045518018}" name=" Order Level" dataDxfId="0">
      <calculatedColumnFormula xml:space="preserve"> IF(M2 &gt;=2000,"high",IF(M2 &gt;=1000,"medium","low"))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abSelected="1" workbookViewId="0">
      <pane ySplit="1" topLeftCell="A11" activePane="bottomLeft" state="frozen"/>
      <selection pane="bottomLeft" activeCell="B20" sqref="B20"/>
    </sheetView>
  </sheetViews>
  <sheetFormatPr defaultRowHeight="21"/>
  <cols>
    <col min="1" max="1" width="45.7109375" style="29" customWidth="1"/>
    <col min="2" max="2" width="17.85546875" style="29" customWidth="1"/>
    <col min="3" max="3" width="19.7109375" style="29" customWidth="1"/>
    <col min="4" max="4" width="9.140625" style="29"/>
    <col min="5" max="5" width="18.7109375" style="29" customWidth="1"/>
    <col min="6" max="6" width="9.140625" style="29"/>
    <col min="7" max="7" width="15.42578125" style="28" customWidth="1"/>
    <col min="8" max="16384" width="9.140625" style="28"/>
  </cols>
  <sheetData>
    <row r="1" spans="1:9" ht="21" customHeight="1">
      <c r="A1" s="37" t="s">
        <v>0</v>
      </c>
      <c r="B1" s="38"/>
      <c r="C1" s="38"/>
      <c r="D1" s="38"/>
      <c r="E1" s="38"/>
      <c r="F1" s="38"/>
    </row>
    <row r="2" spans="1:9" ht="15" customHeight="1">
      <c r="A2" s="39" t="s">
        <v>1</v>
      </c>
      <c r="B2" s="40"/>
      <c r="C2" s="40"/>
      <c r="D2" s="40"/>
      <c r="E2" s="40"/>
      <c r="F2" s="40"/>
    </row>
    <row r="3" spans="1:9">
      <c r="A3"/>
      <c r="B3" s="30"/>
      <c r="C3" s="30"/>
      <c r="D3" s="30"/>
      <c r="E3" s="30"/>
      <c r="F3" s="30"/>
    </row>
    <row r="4" spans="1:9" ht="21" customHeight="1">
      <c r="A4" s="31" t="s">
        <v>2</v>
      </c>
      <c r="B4" s="30"/>
      <c r="C4" s="30"/>
      <c r="D4" s="30"/>
      <c r="E4" s="30"/>
      <c r="F4" s="30"/>
    </row>
    <row r="5" spans="1:9" ht="21" customHeight="1">
      <c r="A5" s="36" t="s">
        <v>3</v>
      </c>
      <c r="B5" s="36"/>
      <c r="C5" s="36"/>
      <c r="D5" s="36"/>
      <c r="E5" s="36"/>
      <c r="F5" s="32"/>
    </row>
    <row r="6" spans="1:9" ht="21" customHeight="1">
      <c r="A6" s="36"/>
      <c r="B6" s="36"/>
      <c r="C6" s="36"/>
      <c r="D6" s="36"/>
      <c r="E6" s="36"/>
      <c r="F6" s="30"/>
    </row>
    <row r="7" spans="1:9">
      <c r="A7" s="36"/>
      <c r="B7" s="36"/>
      <c r="C7" s="36"/>
      <c r="D7" s="36"/>
      <c r="E7" s="36"/>
    </row>
    <row r="8" spans="1:9">
      <c r="A8" s="33" t="s">
        <v>4</v>
      </c>
    </row>
    <row r="9" spans="1:9">
      <c r="A9"/>
    </row>
    <row r="10" spans="1:9" ht="15">
      <c r="A10" s="11" t="s">
        <v>5</v>
      </c>
      <c r="B10" s="16"/>
      <c r="C10" s="17" t="s">
        <v>6</v>
      </c>
      <c r="D10" s="18"/>
      <c r="E10" s="17" t="s">
        <v>7</v>
      </c>
      <c r="F10" s="19"/>
      <c r="G10" s="20" t="s">
        <v>8</v>
      </c>
      <c r="H10"/>
      <c r="I10"/>
    </row>
    <row r="11" spans="1:9" ht="15" customHeight="1">
      <c r="A11" s="12">
        <v>60</v>
      </c>
      <c r="B11" s="16"/>
      <c r="C11" s="21" t="s">
        <v>9</v>
      </c>
      <c r="D11" s="18"/>
      <c r="E11" s="15">
        <v>34</v>
      </c>
      <c r="F11" s="19"/>
      <c r="G11" s="22" t="s">
        <v>10</v>
      </c>
      <c r="H11"/>
      <c r="I11"/>
    </row>
    <row r="12" spans="1:9" ht="15" customHeight="1">
      <c r="A12" s="34"/>
    </row>
    <row r="13" spans="1:9">
      <c r="A13" s="33" t="s">
        <v>11</v>
      </c>
    </row>
    <row r="14" spans="1:9">
      <c r="A14" s="9" t="s">
        <v>12</v>
      </c>
    </row>
    <row r="15" spans="1:9">
      <c r="A15" t="s">
        <v>13</v>
      </c>
    </row>
    <row r="16" spans="1:9">
      <c r="A16" s="9" t="s">
        <v>14</v>
      </c>
    </row>
    <row r="17" spans="1:1">
      <c r="A17" t="s">
        <v>15</v>
      </c>
    </row>
    <row r="18" spans="1:1">
      <c r="A18" s="9" t="s">
        <v>16</v>
      </c>
    </row>
    <row r="19" spans="1:1">
      <c r="A19" t="s">
        <v>17</v>
      </c>
    </row>
    <row r="20" spans="1:1">
      <c r="A20" s="9" t="s">
        <v>18</v>
      </c>
    </row>
    <row r="21" spans="1:1">
      <c r="A21" t="s">
        <v>19</v>
      </c>
    </row>
    <row r="22" spans="1:1">
      <c r="A22" s="9" t="s">
        <v>20</v>
      </c>
    </row>
    <row r="23" spans="1:1">
      <c r="A23" t="s">
        <v>21</v>
      </c>
    </row>
    <row r="25" spans="1:1">
      <c r="A25" s="35" t="s">
        <v>22</v>
      </c>
    </row>
  </sheetData>
  <mergeCells count="3">
    <mergeCell ref="A5:E7"/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FD97-21F7-4311-ABA7-AF6D6532D162}">
  <dimension ref="A1:G5"/>
  <sheetViews>
    <sheetView workbookViewId="0">
      <selection activeCell="I4" sqref="A3:I4"/>
    </sheetView>
  </sheetViews>
  <sheetFormatPr defaultRowHeight="15"/>
  <cols>
    <col min="1" max="1" width="27.42578125" customWidth="1"/>
    <col min="3" max="3" width="18.28515625" customWidth="1"/>
    <col min="4" max="4" width="9.28515625" customWidth="1"/>
    <col min="5" max="5" width="19.42578125" customWidth="1"/>
    <col min="7" max="7" width="18.140625" style="4" customWidth="1"/>
  </cols>
  <sheetData>
    <row r="1" spans="1:7" ht="21">
      <c r="A1" s="23"/>
      <c r="C1" s="27" t="s">
        <v>23</v>
      </c>
      <c r="D1" s="26"/>
    </row>
    <row r="3" spans="1:7">
      <c r="A3" s="11" t="s">
        <v>5</v>
      </c>
      <c r="B3" s="16"/>
      <c r="C3" s="17" t="s">
        <v>6</v>
      </c>
      <c r="D3" s="18"/>
      <c r="E3" s="17" t="s">
        <v>7</v>
      </c>
      <c r="F3" s="19"/>
      <c r="G3" s="20" t="s">
        <v>8</v>
      </c>
    </row>
    <row r="4" spans="1:7" ht="21">
      <c r="A4" s="12">
        <f>Analysis!B2</f>
        <v>60</v>
      </c>
      <c r="B4" s="16"/>
      <c r="C4" s="21">
        <f>Analysis!B3</f>
        <v>48980</v>
      </c>
      <c r="D4" s="18"/>
      <c r="E4" s="15">
        <f>Analysis!B4</f>
        <v>34</v>
      </c>
      <c r="F4" s="19"/>
      <c r="G4" s="22">
        <f>Analysis!B5</f>
        <v>1440.5882352941176</v>
      </c>
    </row>
    <row r="5" spans="1:7">
      <c r="C5" s="13"/>
      <c r="D5" s="13"/>
      <c r="E5" s="13"/>
      <c r="F5" s="13"/>
      <c r="G5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651A-51B3-4BD1-9943-27DCAE37A2CE}">
  <dimension ref="A1:B37"/>
  <sheetViews>
    <sheetView topLeftCell="A21" workbookViewId="0">
      <selection activeCell="B26" sqref="B26"/>
    </sheetView>
  </sheetViews>
  <sheetFormatPr defaultRowHeight="15"/>
  <cols>
    <col min="1" max="1" width="31" customWidth="1"/>
    <col min="2" max="2" width="16.140625" customWidth="1"/>
  </cols>
  <sheetData>
    <row r="1" spans="1:2">
      <c r="A1" s="9" t="s">
        <v>24</v>
      </c>
    </row>
    <row r="2" spans="1:2">
      <c r="A2" t="s">
        <v>5</v>
      </c>
      <c r="B2">
        <f>COUNTA(Raw_Sales!A2:A61)</f>
        <v>60</v>
      </c>
    </row>
    <row r="3" spans="1:2">
      <c r="A3" t="s">
        <v>6</v>
      </c>
      <c r="B3" s="4">
        <f>SUMIFS(Raw_Sales!M2:M61,Raw_Sales!L2:L61,"Completed")</f>
        <v>48980</v>
      </c>
    </row>
    <row r="4" spans="1:2">
      <c r="A4" t="s">
        <v>7</v>
      </c>
      <c r="B4">
        <f>COUNTIF(Raw_Sales!L2:L61,"Completed")</f>
        <v>34</v>
      </c>
    </row>
    <row r="5" spans="1:2">
      <c r="A5" t="s">
        <v>8</v>
      </c>
      <c r="B5" s="4">
        <f>B3/B4</f>
        <v>1440.5882352941176</v>
      </c>
    </row>
    <row r="7" spans="1:2">
      <c r="A7" s="9" t="s">
        <v>25</v>
      </c>
    </row>
    <row r="8" spans="1:2">
      <c r="A8" t="s">
        <v>26</v>
      </c>
      <c r="B8" s="24" t="s">
        <v>27</v>
      </c>
    </row>
    <row r="9" spans="1:2">
      <c r="A9" t="s">
        <v>28</v>
      </c>
      <c r="B9" s="24">
        <f>SUMIFS(Raw_Sales!M2:M61,Raw_Sales!G2:G61,A9,Raw_Sales!L2:L61,"Completed")</f>
        <v>15950</v>
      </c>
    </row>
    <row r="10" spans="1:2">
      <c r="A10" t="s">
        <v>29</v>
      </c>
      <c r="B10" s="24">
        <f>SUMIFS(Raw_Sales!M2:M61,Raw_Sales!G2:G61,A10,Raw_Sales!L2:L61,"Completed")</f>
        <v>19040</v>
      </c>
    </row>
    <row r="11" spans="1:2">
      <c r="A11" t="s">
        <v>30</v>
      </c>
      <c r="B11" s="24">
        <f>SUMIFS(Raw_Sales!M3:M62,Raw_Sales!G3:G62,A11,Raw_Sales!L3:L62,"Completed")</f>
        <v>2140</v>
      </c>
    </row>
    <row r="12" spans="1:2">
      <c r="A12" t="s">
        <v>31</v>
      </c>
      <c r="B12" s="24">
        <f>SUMIFS(Raw_Sales!M4:M63,Raw_Sales!G4:G63,A12,Raw_Sales!L4:L63,"Completed")</f>
        <v>11850</v>
      </c>
    </row>
    <row r="14" spans="1:2">
      <c r="A14" s="9" t="s">
        <v>32</v>
      </c>
    </row>
    <row r="15" spans="1:2">
      <c r="A15" t="s">
        <v>33</v>
      </c>
      <c r="B15" s="25" t="s">
        <v>6</v>
      </c>
    </row>
    <row r="16" spans="1:2">
      <c r="A16" s="10" t="s">
        <v>34</v>
      </c>
      <c r="B16" s="25">
        <f>SUMIFS(Raw_Sales!M1:M61,Raw_Sales!H1:H61,A16,Raw_Sales!L1:L61,"Completed")</f>
        <v>20680</v>
      </c>
    </row>
    <row r="17" spans="1:2">
      <c r="A17" t="s">
        <v>35</v>
      </c>
      <c r="B17" s="25">
        <f>SUMIFS(Raw_Sales!M2:M61,Raw_Sales!H2:H61,A17,Raw_Sales!L2:L61,"Completed")</f>
        <v>16150</v>
      </c>
    </row>
    <row r="18" spans="1:2">
      <c r="A18" t="s">
        <v>36</v>
      </c>
      <c r="B18" s="25">
        <f>SUMIFS(Raw_Sales!M2:M61,Raw_Sales!H2:H61,A18,Raw_Sales!L2:L61,"Completed")</f>
        <v>9450</v>
      </c>
    </row>
    <row r="19" spans="1:2">
      <c r="A19" t="s">
        <v>37</v>
      </c>
      <c r="B19" s="25">
        <f>SUMIFS(Raw_Sales!M2:M61,Raw_Sales!H2:H61,A19,Raw_Sales!L2:L61,"Completed")</f>
        <v>2700</v>
      </c>
    </row>
    <row r="22" spans="1:2">
      <c r="A22" s="6" t="s">
        <v>38</v>
      </c>
    </row>
    <row r="23" spans="1:2">
      <c r="A23" t="s">
        <v>39</v>
      </c>
      <c r="B23" s="10" t="s">
        <v>40</v>
      </c>
    </row>
    <row r="24" spans="1:2">
      <c r="A24" t="s">
        <v>41</v>
      </c>
      <c r="B24">
        <f>COUNTIF(Raw_Sales!$L$2:$L$61,A24)</f>
        <v>34</v>
      </c>
    </row>
    <row r="25" spans="1:2">
      <c r="A25" t="s">
        <v>42</v>
      </c>
      <c r="B25">
        <f>COUNTIF(Raw_Sales!$L$2:$L$61,A25)</f>
        <v>14</v>
      </c>
    </row>
    <row r="26" spans="1:2">
      <c r="A26" t="s">
        <v>43</v>
      </c>
      <c r="B26">
        <f>COUNTIF(Raw_Sales!$L$2:$L$61,A26)</f>
        <v>12</v>
      </c>
    </row>
    <row r="28" spans="1:2">
      <c r="A28" s="6" t="s">
        <v>44</v>
      </c>
    </row>
    <row r="29" spans="1:2">
      <c r="A29" t="s">
        <v>45</v>
      </c>
      <c r="B29" s="25"/>
    </row>
    <row r="30" spans="1:2">
      <c r="A30" t="s">
        <v>46</v>
      </c>
      <c r="B30" s="25">
        <f>SUMIFS(Raw_Sales!$M$2:$M$61,Raw_Sales!$E$2:$E$61,A30,Raw_Sales!$L$2:$L$61,"Completed")</f>
        <v>10800</v>
      </c>
    </row>
    <row r="31" spans="1:2">
      <c r="A31" t="s">
        <v>47</v>
      </c>
      <c r="B31" s="25">
        <f>SUMIFS(Raw_Sales!$M$2:$M$61,Raw_Sales!$E$2:$E$61,A31,Raw_Sales!$L$2:$L$61,"Completed")</f>
        <v>6300</v>
      </c>
    </row>
    <row r="32" spans="1:2">
      <c r="A32" t="s">
        <v>48</v>
      </c>
      <c r="B32" s="25">
        <f>SUMIFS(Raw_Sales!$M$2:$M$61,Raw_Sales!$E$2:$E$61,A32,Raw_Sales!$L$2:$L$61,"Completed")</f>
        <v>18900</v>
      </c>
    </row>
    <row r="33" spans="1:2">
      <c r="A33" t="s">
        <v>49</v>
      </c>
      <c r="B33" s="25">
        <f>SUMIFS(Raw_Sales!$M$2:$M$61,Raw_Sales!$E$2:$E$61,A33,Raw_Sales!$L$2:$L$61,"Completed")</f>
        <v>800</v>
      </c>
    </row>
    <row r="34" spans="1:2">
      <c r="A34" t="s">
        <v>50</v>
      </c>
      <c r="B34" s="25">
        <f>SUMIFS(Raw_Sales!$M$2:$M$61,Raw_Sales!$E$2:$E$61,A34,Raw_Sales!$L$2:$L$61,"Completed")</f>
        <v>750</v>
      </c>
    </row>
    <row r="35" spans="1:2">
      <c r="A35" t="s">
        <v>51</v>
      </c>
      <c r="B35" s="25">
        <f>SUMIFS(Raw_Sales!$M$2:$M$61,Raw_Sales!$E$2:$E$61,A35,Raw_Sales!$L$2:$L$61,"Completed")</f>
        <v>4680</v>
      </c>
    </row>
    <row r="36" spans="1:2">
      <c r="A36" t="s">
        <v>52</v>
      </c>
      <c r="B36" s="25">
        <f>SUMIFS(Raw_Sales!$M$2:$M$61,Raw_Sales!$E$2:$E$61,A36,Raw_Sales!$L$2:$L$61,"Completed")</f>
        <v>3500</v>
      </c>
    </row>
    <row r="37" spans="1:2">
      <c r="A37" t="s">
        <v>53</v>
      </c>
      <c r="B37" s="25">
        <f>SUMIFS(Raw_Sales!$M$2:$M$61,Raw_Sales!$E$2:$E$61,A37,Raw_Sales!$L$2:$L$61,"Completed")</f>
        <v>3250</v>
      </c>
    </row>
  </sheetData>
  <sortState xmlns:xlrd2="http://schemas.microsoft.com/office/spreadsheetml/2017/richdata2" ref="A16:B20">
    <sortCondition descending="1" ref="B16:B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workbookViewId="0">
      <pane ySplit="1" topLeftCell="J2" activePane="bottomLeft" state="frozen"/>
      <selection pane="bottomLeft" activeCell="AB5" sqref="AB5"/>
    </sheetView>
  </sheetViews>
  <sheetFormatPr defaultRowHeight="15"/>
  <cols>
    <col min="1" max="1" width="13.85546875" customWidth="1"/>
    <col min="2" max="2" width="11.140625" bestFit="1" customWidth="1"/>
    <col min="3" max="3" width="14" customWidth="1"/>
    <col min="4" max="4" width="14.28515625" customWidth="1"/>
    <col min="5" max="5" width="15.140625" customWidth="1"/>
    <col min="6" max="6" width="12.7109375" customWidth="1"/>
    <col min="7" max="7" width="11.42578125" bestFit="1" customWidth="1"/>
    <col min="8" max="8" width="17.140625" customWidth="1"/>
    <col min="9" max="9" width="14.42578125" customWidth="1"/>
    <col min="10" max="10" width="19.28515625" customWidth="1"/>
    <col min="11" max="11" width="19.5703125" customWidth="1"/>
    <col min="12" max="12" width="29.140625" customWidth="1"/>
    <col min="13" max="13" width="13.42578125" customWidth="1"/>
    <col min="14" max="14" width="18" customWidth="1"/>
    <col min="15" max="15" width="18.140625" customWidth="1"/>
    <col min="16" max="16" width="8.5703125" customWidth="1"/>
    <col min="18" max="18" width="13" customWidth="1"/>
    <col min="20" max="20" width="17.42578125" customWidth="1"/>
    <col min="21" max="21" width="11.42578125" bestFit="1" customWidth="1"/>
    <col min="22" max="22" width="25" customWidth="1"/>
    <col min="24" max="24" width="8.5703125" customWidth="1"/>
  </cols>
  <sheetData>
    <row r="1" spans="1:21">
      <c r="A1" s="1" t="s">
        <v>54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26</v>
      </c>
      <c r="H1" s="1" t="s">
        <v>33</v>
      </c>
      <c r="I1" s="1" t="s">
        <v>59</v>
      </c>
      <c r="J1" s="1" t="s">
        <v>60</v>
      </c>
      <c r="K1" s="1" t="s">
        <v>61</v>
      </c>
      <c r="L1" s="1" t="s">
        <v>39</v>
      </c>
      <c r="M1" s="6" t="s">
        <v>27</v>
      </c>
      <c r="N1" s="3" t="s">
        <v>62</v>
      </c>
    </row>
    <row r="2" spans="1:21">
      <c r="A2" t="s">
        <v>63</v>
      </c>
      <c r="B2" s="2">
        <v>46252</v>
      </c>
      <c r="C2" t="s">
        <v>64</v>
      </c>
      <c r="D2" t="s">
        <v>65</v>
      </c>
      <c r="E2" t="s">
        <v>48</v>
      </c>
      <c r="F2" t="s">
        <v>66</v>
      </c>
      <c r="G2" t="s">
        <v>28</v>
      </c>
      <c r="H2" t="s">
        <v>34</v>
      </c>
      <c r="I2">
        <v>5</v>
      </c>
      <c r="J2">
        <v>900</v>
      </c>
      <c r="K2" t="s">
        <v>67</v>
      </c>
      <c r="L2" t="s">
        <v>41</v>
      </c>
      <c r="M2" s="4">
        <f xml:space="preserve"> I2 * J2</f>
        <v>4500</v>
      </c>
      <c r="N2" t="str">
        <f xml:space="preserve"> IF(M2 &gt;=2000,"high",IF(M2 &gt;=1000,"medium","low"))</f>
        <v>high</v>
      </c>
      <c r="T2" s="4"/>
      <c r="U2" s="8"/>
    </row>
    <row r="3" spans="1:21">
      <c r="A3" t="s">
        <v>68</v>
      </c>
      <c r="B3" s="2">
        <v>46249</v>
      </c>
      <c r="C3" t="s">
        <v>69</v>
      </c>
      <c r="D3" t="s">
        <v>70</v>
      </c>
      <c r="E3" t="s">
        <v>46</v>
      </c>
      <c r="F3" t="s">
        <v>71</v>
      </c>
      <c r="G3" t="s">
        <v>28</v>
      </c>
      <c r="H3" t="s">
        <v>35</v>
      </c>
      <c r="I3">
        <v>3</v>
      </c>
      <c r="J3">
        <v>1200</v>
      </c>
      <c r="K3" t="s">
        <v>67</v>
      </c>
      <c r="L3" t="s">
        <v>41</v>
      </c>
      <c r="M3" s="4">
        <f xml:space="preserve"> I3 * J3</f>
        <v>3600</v>
      </c>
      <c r="N3" t="str">
        <f xml:space="preserve"> IF(M3 &gt;=2000,"high",IF(M3 &gt;=1000,"medium","low"))</f>
        <v>high</v>
      </c>
      <c r="T3" s="4"/>
    </row>
    <row r="4" spans="1:21">
      <c r="A4" t="s">
        <v>72</v>
      </c>
      <c r="B4" s="2">
        <v>46238</v>
      </c>
      <c r="C4" t="s">
        <v>73</v>
      </c>
      <c r="D4" t="s">
        <v>70</v>
      </c>
      <c r="E4" t="s">
        <v>46</v>
      </c>
      <c r="F4" t="s">
        <v>71</v>
      </c>
      <c r="G4" t="s">
        <v>28</v>
      </c>
      <c r="H4" t="s">
        <v>36</v>
      </c>
      <c r="I4">
        <v>2</v>
      </c>
      <c r="J4">
        <v>1200</v>
      </c>
      <c r="K4" t="s">
        <v>74</v>
      </c>
      <c r="L4" t="s">
        <v>42</v>
      </c>
      <c r="M4" s="4">
        <f xml:space="preserve"> I4 * J4</f>
        <v>2400</v>
      </c>
      <c r="N4" t="str">
        <f xml:space="preserve"> IF(M4 &gt;=2000,"high",IF(M4 &gt;=1000,"medium","low"))</f>
        <v>high</v>
      </c>
      <c r="T4" s="4"/>
    </row>
    <row r="5" spans="1:21">
      <c r="A5" t="s">
        <v>75</v>
      </c>
      <c r="B5" s="2">
        <v>46244</v>
      </c>
      <c r="C5" t="s">
        <v>76</v>
      </c>
      <c r="D5" t="s">
        <v>77</v>
      </c>
      <c r="E5" t="s">
        <v>53</v>
      </c>
      <c r="F5" t="s">
        <v>78</v>
      </c>
      <c r="G5" t="s">
        <v>28</v>
      </c>
      <c r="H5" t="s">
        <v>36</v>
      </c>
      <c r="I5">
        <v>3</v>
      </c>
      <c r="J5">
        <v>650</v>
      </c>
      <c r="K5" t="s">
        <v>79</v>
      </c>
      <c r="L5" t="s">
        <v>43</v>
      </c>
      <c r="M5" s="4">
        <f xml:space="preserve"> I5 * J5</f>
        <v>1950</v>
      </c>
      <c r="N5" t="str">
        <f xml:space="preserve"> IF(M5 &gt;=2000,"high",IF(M5 &gt;=1000,"medium","low"))</f>
        <v>medium</v>
      </c>
      <c r="T5" s="4"/>
    </row>
    <row r="6" spans="1:21">
      <c r="A6" t="s">
        <v>80</v>
      </c>
      <c r="B6" s="2">
        <v>46238</v>
      </c>
      <c r="C6" t="s">
        <v>81</v>
      </c>
      <c r="D6" t="s">
        <v>77</v>
      </c>
      <c r="E6" t="s">
        <v>53</v>
      </c>
      <c r="F6" t="s">
        <v>78</v>
      </c>
      <c r="G6" t="s">
        <v>28</v>
      </c>
      <c r="H6" t="s">
        <v>35</v>
      </c>
      <c r="I6">
        <v>3</v>
      </c>
      <c r="J6">
        <v>650</v>
      </c>
      <c r="K6" t="s">
        <v>74</v>
      </c>
      <c r="L6" t="s">
        <v>41</v>
      </c>
      <c r="M6" s="4">
        <f xml:space="preserve"> I6 * J6</f>
        <v>1950</v>
      </c>
      <c r="N6" t="str">
        <f xml:space="preserve"> IF(M6 &gt;=2000,"high",IF(M6 &gt;=1000,"medium","low"))</f>
        <v>medium</v>
      </c>
      <c r="T6" s="4"/>
    </row>
    <row r="7" spans="1:21">
      <c r="A7" t="s">
        <v>82</v>
      </c>
      <c r="B7" s="2">
        <v>46239</v>
      </c>
      <c r="C7" t="s">
        <v>83</v>
      </c>
      <c r="D7" t="s">
        <v>65</v>
      </c>
      <c r="E7" t="s">
        <v>48</v>
      </c>
      <c r="F7" t="s">
        <v>66</v>
      </c>
      <c r="G7" t="s">
        <v>28</v>
      </c>
      <c r="H7" t="s">
        <v>35</v>
      </c>
      <c r="I7">
        <v>2</v>
      </c>
      <c r="J7">
        <v>900</v>
      </c>
      <c r="K7" t="s">
        <v>67</v>
      </c>
      <c r="L7" t="s">
        <v>41</v>
      </c>
      <c r="M7" s="4">
        <f xml:space="preserve"> I7 * J7</f>
        <v>1800</v>
      </c>
      <c r="N7" t="str">
        <f xml:space="preserve"> IF(M7 &gt;=2000,"high",IF(M7 &gt;=1000,"medium","low"))</f>
        <v>medium</v>
      </c>
    </row>
    <row r="8" spans="1:21">
      <c r="A8" t="s">
        <v>84</v>
      </c>
      <c r="B8" s="2">
        <v>46242</v>
      </c>
      <c r="C8" t="s">
        <v>85</v>
      </c>
      <c r="D8" t="s">
        <v>86</v>
      </c>
      <c r="E8" t="s">
        <v>52</v>
      </c>
      <c r="F8" t="s">
        <v>66</v>
      </c>
      <c r="G8" t="s">
        <v>28</v>
      </c>
      <c r="H8" t="s">
        <v>35</v>
      </c>
      <c r="I8">
        <v>4</v>
      </c>
      <c r="J8">
        <v>350</v>
      </c>
      <c r="K8" t="s">
        <v>67</v>
      </c>
      <c r="L8" t="s">
        <v>43</v>
      </c>
      <c r="M8" s="4">
        <f xml:space="preserve"> I8 * J8</f>
        <v>1400</v>
      </c>
      <c r="N8" t="str">
        <f xml:space="preserve"> IF(M8 &gt;=2000,"high",IF(M8 &gt;=1000,"medium","low"))</f>
        <v>medium</v>
      </c>
    </row>
    <row r="9" spans="1:21">
      <c r="A9" t="s">
        <v>87</v>
      </c>
      <c r="B9" s="2">
        <v>46244</v>
      </c>
      <c r="C9" t="s">
        <v>88</v>
      </c>
      <c r="D9" t="s">
        <v>86</v>
      </c>
      <c r="E9" t="s">
        <v>52</v>
      </c>
      <c r="F9" t="s">
        <v>66</v>
      </c>
      <c r="G9" t="s">
        <v>28</v>
      </c>
      <c r="H9" t="s">
        <v>34</v>
      </c>
      <c r="I9">
        <v>4</v>
      </c>
      <c r="J9">
        <v>350</v>
      </c>
      <c r="K9" t="s">
        <v>67</v>
      </c>
      <c r="L9" t="s">
        <v>41</v>
      </c>
      <c r="M9" s="4">
        <f xml:space="preserve"> I9 * J9</f>
        <v>1400</v>
      </c>
      <c r="N9" t="str">
        <f xml:space="preserve"> IF(M9 &gt;=2000,"high",IF(M9 &gt;=1000,"medium","low"))</f>
        <v>medium</v>
      </c>
    </row>
    <row r="10" spans="1:21">
      <c r="A10" t="s">
        <v>89</v>
      </c>
      <c r="B10" s="2">
        <v>46240</v>
      </c>
      <c r="C10" t="s">
        <v>90</v>
      </c>
      <c r="D10" t="s">
        <v>70</v>
      </c>
      <c r="E10" t="s">
        <v>46</v>
      </c>
      <c r="F10" t="s">
        <v>71</v>
      </c>
      <c r="G10" t="s">
        <v>28</v>
      </c>
      <c r="H10" t="s">
        <v>34</v>
      </c>
      <c r="I10">
        <v>1</v>
      </c>
      <c r="J10">
        <v>1200</v>
      </c>
      <c r="K10" t="s">
        <v>74</v>
      </c>
      <c r="L10" t="s">
        <v>41</v>
      </c>
      <c r="M10" s="4">
        <f xml:space="preserve"> I10 * J10</f>
        <v>1200</v>
      </c>
      <c r="N10" t="str">
        <f xml:space="preserve"> IF(M10 &gt;=2000,"high",IF(M10 &gt;=1000,"medium","low"))</f>
        <v>medium</v>
      </c>
    </row>
    <row r="11" spans="1:21">
      <c r="A11" t="s">
        <v>91</v>
      </c>
      <c r="B11" s="2">
        <v>46253</v>
      </c>
      <c r="C11" t="s">
        <v>92</v>
      </c>
      <c r="D11" t="s">
        <v>93</v>
      </c>
      <c r="E11" t="s">
        <v>51</v>
      </c>
      <c r="F11" t="s">
        <v>78</v>
      </c>
      <c r="G11" t="s">
        <v>28</v>
      </c>
      <c r="H11" t="s">
        <v>35</v>
      </c>
      <c r="I11">
        <v>5</v>
      </c>
      <c r="J11">
        <v>180</v>
      </c>
      <c r="K11" t="s">
        <v>74</v>
      </c>
      <c r="L11" t="s">
        <v>41</v>
      </c>
      <c r="M11" s="4">
        <f xml:space="preserve"> I11 * J11</f>
        <v>900</v>
      </c>
      <c r="N11" t="str">
        <f xml:space="preserve"> IF(M11 &gt;=2000,"high",IF(M11 &gt;=1000,"medium","low"))</f>
        <v>low</v>
      </c>
    </row>
    <row r="12" spans="1:21">
      <c r="A12" t="s">
        <v>94</v>
      </c>
      <c r="B12" s="2">
        <v>46241</v>
      </c>
      <c r="C12" t="s">
        <v>95</v>
      </c>
      <c r="D12" t="s">
        <v>96</v>
      </c>
      <c r="E12" t="s">
        <v>49</v>
      </c>
      <c r="F12" t="s">
        <v>97</v>
      </c>
      <c r="G12" t="s">
        <v>28</v>
      </c>
      <c r="H12" t="s">
        <v>34</v>
      </c>
      <c r="I12">
        <v>5</v>
      </c>
      <c r="J12">
        <v>80</v>
      </c>
      <c r="K12" t="s">
        <v>74</v>
      </c>
      <c r="L12" t="s">
        <v>43</v>
      </c>
      <c r="M12" s="4">
        <f xml:space="preserve"> I12 * J12</f>
        <v>400</v>
      </c>
      <c r="N12" t="str">
        <f xml:space="preserve"> IF(M12 &gt;=2000,"high",IF(M12 &gt;=1000,"medium","low"))</f>
        <v>low</v>
      </c>
    </row>
    <row r="13" spans="1:21">
      <c r="A13" t="s">
        <v>98</v>
      </c>
      <c r="B13" s="2">
        <v>46259</v>
      </c>
      <c r="C13" t="s">
        <v>76</v>
      </c>
      <c r="D13" t="s">
        <v>86</v>
      </c>
      <c r="E13" t="s">
        <v>52</v>
      </c>
      <c r="F13" t="s">
        <v>66</v>
      </c>
      <c r="G13" t="s">
        <v>28</v>
      </c>
      <c r="H13" t="s">
        <v>36</v>
      </c>
      <c r="I13">
        <v>1</v>
      </c>
      <c r="J13">
        <v>350</v>
      </c>
      <c r="K13" t="s">
        <v>74</v>
      </c>
      <c r="L13" t="s">
        <v>41</v>
      </c>
      <c r="M13" s="4">
        <f xml:space="preserve"> I13 * J13</f>
        <v>350</v>
      </c>
      <c r="N13" t="str">
        <f xml:space="preserve"> IF(M13 &gt;=2000,"high",IF(M13 &gt;=1000,"medium","low"))</f>
        <v>low</v>
      </c>
    </row>
    <row r="14" spans="1:21">
      <c r="A14" t="s">
        <v>99</v>
      </c>
      <c r="B14" s="2">
        <v>46262</v>
      </c>
      <c r="C14" t="s">
        <v>100</v>
      </c>
      <c r="D14" t="s">
        <v>101</v>
      </c>
      <c r="E14" t="s">
        <v>50</v>
      </c>
      <c r="F14" t="s">
        <v>97</v>
      </c>
      <c r="G14" t="s">
        <v>28</v>
      </c>
      <c r="H14" t="s">
        <v>34</v>
      </c>
      <c r="I14">
        <v>4</v>
      </c>
      <c r="J14">
        <v>50</v>
      </c>
      <c r="K14" t="s">
        <v>67</v>
      </c>
      <c r="L14" t="s">
        <v>42</v>
      </c>
      <c r="M14" s="4">
        <f xml:space="preserve"> I14 * J14</f>
        <v>200</v>
      </c>
      <c r="N14" t="str">
        <f xml:space="preserve"> IF(M14 &gt;=2000,"high",IF(M14 &gt;=1000,"medium","low"))</f>
        <v>low</v>
      </c>
    </row>
    <row r="15" spans="1:21">
      <c r="A15" t="s">
        <v>102</v>
      </c>
      <c r="B15" s="2">
        <v>46248</v>
      </c>
      <c r="C15" t="s">
        <v>76</v>
      </c>
      <c r="D15" t="s">
        <v>101</v>
      </c>
      <c r="E15" t="s">
        <v>50</v>
      </c>
      <c r="F15" t="s">
        <v>97</v>
      </c>
      <c r="G15" t="s">
        <v>28</v>
      </c>
      <c r="H15" t="s">
        <v>35</v>
      </c>
      <c r="I15">
        <v>3</v>
      </c>
      <c r="J15">
        <v>50</v>
      </c>
      <c r="K15" t="s">
        <v>79</v>
      </c>
      <c r="L15" t="s">
        <v>41</v>
      </c>
      <c r="M15" s="4">
        <f xml:space="preserve"> I15 * J15</f>
        <v>150</v>
      </c>
      <c r="N15" t="str">
        <f xml:space="preserve"> IF(M15 &gt;=2000,"high",IF(M15 &gt;=1000,"medium","low"))</f>
        <v>low</v>
      </c>
    </row>
    <row r="16" spans="1:21">
      <c r="A16" t="s">
        <v>103</v>
      </c>
      <c r="B16" s="2">
        <v>46241</v>
      </c>
      <c r="C16" t="s">
        <v>104</v>
      </c>
      <c r="D16" t="s">
        <v>101</v>
      </c>
      <c r="E16" t="s">
        <v>50</v>
      </c>
      <c r="F16" t="s">
        <v>97</v>
      </c>
      <c r="G16" t="s">
        <v>28</v>
      </c>
      <c r="H16" t="s">
        <v>34</v>
      </c>
      <c r="I16">
        <v>2</v>
      </c>
      <c r="J16">
        <v>50</v>
      </c>
      <c r="K16" t="s">
        <v>74</v>
      </c>
      <c r="L16" t="s">
        <v>41</v>
      </c>
      <c r="M16" s="4">
        <f xml:space="preserve"> I16 * J16</f>
        <v>100</v>
      </c>
      <c r="N16" t="str">
        <f xml:space="preserve"> IF(M16 &gt;=2000,"high",IF(M16 &gt;=1000,"medium","low"))</f>
        <v>low</v>
      </c>
    </row>
    <row r="17" spans="1:14">
      <c r="A17" t="s">
        <v>105</v>
      </c>
      <c r="B17" s="2">
        <v>46263</v>
      </c>
      <c r="C17" t="s">
        <v>106</v>
      </c>
      <c r="D17" t="s">
        <v>65</v>
      </c>
      <c r="E17" t="s">
        <v>48</v>
      </c>
      <c r="F17" t="s">
        <v>66</v>
      </c>
      <c r="G17" t="s">
        <v>29</v>
      </c>
      <c r="H17" t="s">
        <v>34</v>
      </c>
      <c r="I17">
        <v>5</v>
      </c>
      <c r="J17">
        <v>900</v>
      </c>
      <c r="K17" t="s">
        <v>67</v>
      </c>
      <c r="L17" t="s">
        <v>41</v>
      </c>
      <c r="M17" s="4">
        <f xml:space="preserve"> I17 * J17</f>
        <v>4500</v>
      </c>
      <c r="N17" t="str">
        <f xml:space="preserve"> IF(M17 &gt;=2000,"high",IF(M17 &gt;=1000,"medium","low"))</f>
        <v>high</v>
      </c>
    </row>
    <row r="18" spans="1:14">
      <c r="A18" t="s">
        <v>107</v>
      </c>
      <c r="B18" s="2">
        <v>46257</v>
      </c>
      <c r="C18" t="s">
        <v>108</v>
      </c>
      <c r="D18" t="s">
        <v>65</v>
      </c>
      <c r="E18" t="s">
        <v>48</v>
      </c>
      <c r="F18" t="s">
        <v>66</v>
      </c>
      <c r="G18" t="s">
        <v>29</v>
      </c>
      <c r="H18" t="s">
        <v>34</v>
      </c>
      <c r="I18">
        <v>4</v>
      </c>
      <c r="J18">
        <v>900</v>
      </c>
      <c r="K18" t="s">
        <v>74</v>
      </c>
      <c r="L18" t="s">
        <v>42</v>
      </c>
      <c r="M18" s="4">
        <f xml:space="preserve"> I18 * J18</f>
        <v>3600</v>
      </c>
      <c r="N18" t="str">
        <f xml:space="preserve"> IF(M18 &gt;=2000,"high",IF(M18 &gt;=1000,"medium","low"))</f>
        <v>high</v>
      </c>
    </row>
    <row r="19" spans="1:14">
      <c r="A19" t="s">
        <v>109</v>
      </c>
      <c r="B19" s="2">
        <v>46241</v>
      </c>
      <c r="C19" t="s">
        <v>110</v>
      </c>
      <c r="D19" t="s">
        <v>65</v>
      </c>
      <c r="E19" t="s">
        <v>48</v>
      </c>
      <c r="F19" t="s">
        <v>66</v>
      </c>
      <c r="G19" t="s">
        <v>29</v>
      </c>
      <c r="H19" t="s">
        <v>36</v>
      </c>
      <c r="I19">
        <v>3</v>
      </c>
      <c r="J19">
        <v>900</v>
      </c>
      <c r="K19" t="s">
        <v>74</v>
      </c>
      <c r="L19" t="s">
        <v>41</v>
      </c>
      <c r="M19" s="4">
        <f xml:space="preserve"> I19 * J19</f>
        <v>2700</v>
      </c>
      <c r="N19" t="str">
        <f xml:space="preserve"> IF(M19 &gt;=2000,"high",IF(M19 &gt;=1000,"medium","low"))</f>
        <v>high</v>
      </c>
    </row>
    <row r="20" spans="1:14">
      <c r="A20" t="s">
        <v>111</v>
      </c>
      <c r="B20" s="2">
        <v>46261</v>
      </c>
      <c r="C20" t="s">
        <v>112</v>
      </c>
      <c r="D20" t="s">
        <v>65</v>
      </c>
      <c r="E20" t="s">
        <v>48</v>
      </c>
      <c r="F20" t="s">
        <v>66</v>
      </c>
      <c r="G20" t="s">
        <v>29</v>
      </c>
      <c r="H20" t="s">
        <v>35</v>
      </c>
      <c r="I20">
        <v>3</v>
      </c>
      <c r="J20">
        <v>900</v>
      </c>
      <c r="K20" t="s">
        <v>79</v>
      </c>
      <c r="L20" t="s">
        <v>41</v>
      </c>
      <c r="M20" s="4">
        <f xml:space="preserve"> I20 * J20</f>
        <v>2700</v>
      </c>
      <c r="N20" t="str">
        <f xml:space="preserve"> IF(M20 &gt;=2000,"high",IF(M20 &gt;=1000,"medium","low"))</f>
        <v>high</v>
      </c>
    </row>
    <row r="21" spans="1:14">
      <c r="A21" t="s">
        <v>113</v>
      </c>
      <c r="B21" s="2">
        <v>46263</v>
      </c>
      <c r="C21" t="s">
        <v>114</v>
      </c>
      <c r="D21" t="s">
        <v>77</v>
      </c>
      <c r="E21" t="s">
        <v>53</v>
      </c>
      <c r="F21" t="s">
        <v>78</v>
      </c>
      <c r="G21" t="s">
        <v>29</v>
      </c>
      <c r="H21" t="s">
        <v>37</v>
      </c>
      <c r="I21">
        <v>4</v>
      </c>
      <c r="J21">
        <v>650</v>
      </c>
      <c r="K21" t="s">
        <v>67</v>
      </c>
      <c r="L21" t="s">
        <v>42</v>
      </c>
      <c r="M21" s="4">
        <f xml:space="preserve"> I21 * J21</f>
        <v>2600</v>
      </c>
      <c r="N21" t="str">
        <f xml:space="preserve"> IF(M21 &gt;=2000,"high",IF(M21 &gt;=1000,"medium","low"))</f>
        <v>high</v>
      </c>
    </row>
    <row r="22" spans="1:14">
      <c r="A22" t="s">
        <v>115</v>
      </c>
      <c r="B22" s="2">
        <v>46264</v>
      </c>
      <c r="C22" t="s">
        <v>69</v>
      </c>
      <c r="D22" t="s">
        <v>116</v>
      </c>
      <c r="E22" t="s">
        <v>47</v>
      </c>
      <c r="F22" t="s">
        <v>78</v>
      </c>
      <c r="G22" t="s">
        <v>29</v>
      </c>
      <c r="H22" t="s">
        <v>35</v>
      </c>
      <c r="I22">
        <v>5</v>
      </c>
      <c r="J22">
        <v>450</v>
      </c>
      <c r="K22" t="s">
        <v>79</v>
      </c>
      <c r="L22" t="s">
        <v>41</v>
      </c>
      <c r="M22" s="4">
        <f xml:space="preserve"> I22 * J22</f>
        <v>2250</v>
      </c>
      <c r="N22" t="str">
        <f xml:space="preserve"> IF(M22 &gt;=2000,"high",IF(M22 &gt;=1000,"medium","low"))</f>
        <v>high</v>
      </c>
    </row>
    <row r="23" spans="1:14">
      <c r="A23" t="s">
        <v>117</v>
      </c>
      <c r="B23" s="2">
        <v>46261</v>
      </c>
      <c r="C23" t="s">
        <v>114</v>
      </c>
      <c r="D23" t="s">
        <v>77</v>
      </c>
      <c r="E23" t="s">
        <v>53</v>
      </c>
      <c r="F23" t="s">
        <v>78</v>
      </c>
      <c r="G23" t="s">
        <v>29</v>
      </c>
      <c r="H23" t="s">
        <v>35</v>
      </c>
      <c r="I23">
        <v>3</v>
      </c>
      <c r="J23">
        <v>650</v>
      </c>
      <c r="K23" t="s">
        <v>74</v>
      </c>
      <c r="L23" t="s">
        <v>42</v>
      </c>
      <c r="M23" s="4">
        <f xml:space="preserve"> I23 * J23</f>
        <v>1950</v>
      </c>
      <c r="N23" t="str">
        <f xml:space="preserve"> IF(M23 &gt;=2000,"high",IF(M23 &gt;=1000,"medium","low"))</f>
        <v>medium</v>
      </c>
    </row>
    <row r="24" spans="1:14">
      <c r="A24" t="s">
        <v>118</v>
      </c>
      <c r="B24" s="2">
        <v>46246</v>
      </c>
      <c r="C24" t="s">
        <v>119</v>
      </c>
      <c r="D24" t="s">
        <v>65</v>
      </c>
      <c r="E24" t="s">
        <v>48</v>
      </c>
      <c r="F24" t="s">
        <v>66</v>
      </c>
      <c r="G24" t="s">
        <v>29</v>
      </c>
      <c r="H24" t="s">
        <v>36</v>
      </c>
      <c r="I24">
        <v>2</v>
      </c>
      <c r="J24">
        <v>900</v>
      </c>
      <c r="K24" t="s">
        <v>79</v>
      </c>
      <c r="L24" t="s">
        <v>41</v>
      </c>
      <c r="M24" s="4">
        <f xml:space="preserve"> I24 * J24</f>
        <v>1800</v>
      </c>
      <c r="N24" t="str">
        <f xml:space="preserve"> IF(M24 &gt;=2000,"high",IF(M24 &gt;=1000,"medium","low"))</f>
        <v>medium</v>
      </c>
    </row>
    <row r="25" spans="1:14">
      <c r="A25" t="s">
        <v>120</v>
      </c>
      <c r="B25" s="2">
        <v>46263</v>
      </c>
      <c r="C25" t="s">
        <v>121</v>
      </c>
      <c r="D25" t="s">
        <v>86</v>
      </c>
      <c r="E25" t="s">
        <v>52</v>
      </c>
      <c r="F25" t="s">
        <v>66</v>
      </c>
      <c r="G25" t="s">
        <v>29</v>
      </c>
      <c r="H25" t="s">
        <v>35</v>
      </c>
      <c r="I25">
        <v>5</v>
      </c>
      <c r="J25">
        <v>350</v>
      </c>
      <c r="K25" t="s">
        <v>67</v>
      </c>
      <c r="L25" t="s">
        <v>41</v>
      </c>
      <c r="M25" s="4">
        <f xml:space="preserve"> I25 * J25</f>
        <v>1750</v>
      </c>
      <c r="N25" t="str">
        <f xml:space="preserve"> IF(M25 &gt;=2000,"high",IF(M25 &gt;=1000,"medium","low"))</f>
        <v>medium</v>
      </c>
    </row>
    <row r="26" spans="1:14">
      <c r="A26" t="s">
        <v>122</v>
      </c>
      <c r="B26" s="2">
        <v>46241</v>
      </c>
      <c r="C26" t="s">
        <v>95</v>
      </c>
      <c r="D26" t="s">
        <v>86</v>
      </c>
      <c r="E26" t="s">
        <v>52</v>
      </c>
      <c r="F26" t="s">
        <v>66</v>
      </c>
      <c r="G26" t="s">
        <v>29</v>
      </c>
      <c r="H26" t="s">
        <v>37</v>
      </c>
      <c r="I26">
        <v>4</v>
      </c>
      <c r="J26">
        <v>350</v>
      </c>
      <c r="K26" t="s">
        <v>67</v>
      </c>
      <c r="L26" t="s">
        <v>42</v>
      </c>
      <c r="M26" s="4">
        <f xml:space="preserve"> I26 * J26</f>
        <v>1400</v>
      </c>
      <c r="N26" t="str">
        <f xml:space="preserve"> IF(M26 &gt;=2000,"high",IF(M26 &gt;=1000,"medium","low"))</f>
        <v>medium</v>
      </c>
    </row>
    <row r="27" spans="1:14">
      <c r="A27" t="s">
        <v>123</v>
      </c>
      <c r="B27" s="2">
        <v>46258</v>
      </c>
      <c r="C27" t="s">
        <v>124</v>
      </c>
      <c r="D27" t="s">
        <v>93</v>
      </c>
      <c r="E27" t="s">
        <v>51</v>
      </c>
      <c r="F27" t="s">
        <v>78</v>
      </c>
      <c r="G27" t="s">
        <v>29</v>
      </c>
      <c r="H27" t="s">
        <v>37</v>
      </c>
      <c r="I27">
        <v>5</v>
      </c>
      <c r="J27">
        <v>180</v>
      </c>
      <c r="K27" t="s">
        <v>74</v>
      </c>
      <c r="L27" t="s">
        <v>41</v>
      </c>
      <c r="M27" s="4">
        <f xml:space="preserve"> I27 * J27</f>
        <v>900</v>
      </c>
      <c r="N27" t="str">
        <f xml:space="preserve"> IF(M27 &gt;=2000,"high",IF(M27 &gt;=1000,"medium","low"))</f>
        <v>low</v>
      </c>
    </row>
    <row r="28" spans="1:14">
      <c r="A28" t="s">
        <v>125</v>
      </c>
      <c r="B28" s="2">
        <v>46263</v>
      </c>
      <c r="C28" t="s">
        <v>119</v>
      </c>
      <c r="D28" t="s">
        <v>65</v>
      </c>
      <c r="E28" t="s">
        <v>48</v>
      </c>
      <c r="F28" t="s">
        <v>66</v>
      </c>
      <c r="G28" t="s">
        <v>29</v>
      </c>
      <c r="H28" t="s">
        <v>34</v>
      </c>
      <c r="I28">
        <v>1</v>
      </c>
      <c r="J28">
        <v>900</v>
      </c>
      <c r="K28" t="s">
        <v>79</v>
      </c>
      <c r="L28" t="s">
        <v>41</v>
      </c>
      <c r="M28" s="4">
        <f xml:space="preserve"> I28 * J28</f>
        <v>900</v>
      </c>
      <c r="N28" t="str">
        <f xml:space="preserve"> IF(M28 &gt;=2000,"high",IF(M28 &gt;=1000,"medium","low"))</f>
        <v>low</v>
      </c>
    </row>
    <row r="29" spans="1:14">
      <c r="A29" t="s">
        <v>126</v>
      </c>
      <c r="B29" s="2">
        <v>46251</v>
      </c>
      <c r="C29" t="s">
        <v>88</v>
      </c>
      <c r="D29" t="s">
        <v>93</v>
      </c>
      <c r="E29" t="s">
        <v>51</v>
      </c>
      <c r="F29" t="s">
        <v>78</v>
      </c>
      <c r="G29" t="s">
        <v>29</v>
      </c>
      <c r="H29" t="s">
        <v>34</v>
      </c>
      <c r="I29">
        <v>3</v>
      </c>
      <c r="J29">
        <v>180</v>
      </c>
      <c r="K29" t="s">
        <v>79</v>
      </c>
      <c r="L29" t="s">
        <v>41</v>
      </c>
      <c r="M29" s="4">
        <f xml:space="preserve"> I29 * J29</f>
        <v>540</v>
      </c>
      <c r="N29" t="str">
        <f xml:space="preserve"> IF(M29 &gt;=2000,"high",IF(M29 &gt;=1000,"medium","low"))</f>
        <v>low</v>
      </c>
    </row>
    <row r="30" spans="1:14">
      <c r="A30" t="s">
        <v>127</v>
      </c>
      <c r="B30" s="2">
        <v>46244</v>
      </c>
      <c r="C30" t="s">
        <v>73</v>
      </c>
      <c r="D30" t="s">
        <v>96</v>
      </c>
      <c r="E30" t="s">
        <v>49</v>
      </c>
      <c r="F30" t="s">
        <v>97</v>
      </c>
      <c r="G30" t="s">
        <v>29</v>
      </c>
      <c r="H30" t="s">
        <v>36</v>
      </c>
      <c r="I30">
        <v>5</v>
      </c>
      <c r="J30">
        <v>80</v>
      </c>
      <c r="K30" t="s">
        <v>67</v>
      </c>
      <c r="L30" t="s">
        <v>41</v>
      </c>
      <c r="M30" s="4">
        <f xml:space="preserve"> I30 * J30</f>
        <v>400</v>
      </c>
      <c r="N30" t="str">
        <f xml:space="preserve"> IF(M30 &gt;=2000,"high",IF(M30 &gt;=1000,"medium","low"))</f>
        <v>low</v>
      </c>
    </row>
    <row r="31" spans="1:14">
      <c r="A31" t="s">
        <v>128</v>
      </c>
      <c r="B31" s="2">
        <v>46264</v>
      </c>
      <c r="C31" t="s">
        <v>95</v>
      </c>
      <c r="D31" t="s">
        <v>96</v>
      </c>
      <c r="E31" t="s">
        <v>49</v>
      </c>
      <c r="F31" t="s">
        <v>97</v>
      </c>
      <c r="G31" t="s">
        <v>29</v>
      </c>
      <c r="H31" t="s">
        <v>36</v>
      </c>
      <c r="I31">
        <v>5</v>
      </c>
      <c r="J31">
        <v>80</v>
      </c>
      <c r="K31" t="s">
        <v>74</v>
      </c>
      <c r="L31" t="s">
        <v>41</v>
      </c>
      <c r="M31" s="4">
        <f xml:space="preserve"> I31 * J31</f>
        <v>400</v>
      </c>
      <c r="N31" t="str">
        <f xml:space="preserve"> IF(M31 &gt;=2000,"high",IF(M31 &gt;=1000,"medium","low"))</f>
        <v>low</v>
      </c>
    </row>
    <row r="32" spans="1:14">
      <c r="A32" t="s">
        <v>129</v>
      </c>
      <c r="B32" s="2">
        <v>46241</v>
      </c>
      <c r="C32" t="s">
        <v>110</v>
      </c>
      <c r="D32" t="s">
        <v>86</v>
      </c>
      <c r="E32" t="s">
        <v>52</v>
      </c>
      <c r="F32" t="s">
        <v>66</v>
      </c>
      <c r="G32" t="s">
        <v>29</v>
      </c>
      <c r="H32" t="s">
        <v>37</v>
      </c>
      <c r="I32">
        <v>1</v>
      </c>
      <c r="J32">
        <v>350</v>
      </c>
      <c r="K32" t="s">
        <v>74</v>
      </c>
      <c r="L32" t="s">
        <v>42</v>
      </c>
      <c r="M32" s="4">
        <f xml:space="preserve"> I32 * J32</f>
        <v>350</v>
      </c>
      <c r="N32" t="str">
        <f xml:space="preserve"> IF(M32 &gt;=2000,"high",IF(M32 &gt;=1000,"medium","low"))</f>
        <v>low</v>
      </c>
    </row>
    <row r="33" spans="1:14">
      <c r="A33" t="s">
        <v>130</v>
      </c>
      <c r="B33" s="2">
        <v>46254</v>
      </c>
      <c r="C33" t="s">
        <v>85</v>
      </c>
      <c r="D33" t="s">
        <v>93</v>
      </c>
      <c r="E33" t="s">
        <v>51</v>
      </c>
      <c r="F33" t="s">
        <v>78</v>
      </c>
      <c r="G33" t="s">
        <v>29</v>
      </c>
      <c r="H33" t="s">
        <v>37</v>
      </c>
      <c r="I33">
        <v>1</v>
      </c>
      <c r="J33">
        <v>180</v>
      </c>
      <c r="K33" t="s">
        <v>67</v>
      </c>
      <c r="L33" t="s">
        <v>43</v>
      </c>
      <c r="M33" s="4">
        <f xml:space="preserve"> I33 * J33</f>
        <v>180</v>
      </c>
      <c r="N33" t="str">
        <f xml:space="preserve"> IF(M33 &gt;=2000,"high",IF(M33 &gt;=1000,"medium","low"))</f>
        <v>low</v>
      </c>
    </row>
    <row r="34" spans="1:14">
      <c r="A34" t="s">
        <v>131</v>
      </c>
      <c r="B34" s="2">
        <v>46263</v>
      </c>
      <c r="C34" t="s">
        <v>92</v>
      </c>
      <c r="D34" t="s">
        <v>101</v>
      </c>
      <c r="E34" t="s">
        <v>50</v>
      </c>
      <c r="F34" t="s">
        <v>97</v>
      </c>
      <c r="G34" t="s">
        <v>29</v>
      </c>
      <c r="H34" t="s">
        <v>35</v>
      </c>
      <c r="I34">
        <v>3</v>
      </c>
      <c r="J34">
        <v>50</v>
      </c>
      <c r="K34" t="s">
        <v>67</v>
      </c>
      <c r="L34" t="s">
        <v>43</v>
      </c>
      <c r="M34" s="4">
        <f xml:space="preserve"> I34 * J34</f>
        <v>150</v>
      </c>
      <c r="N34" t="str">
        <f xml:space="preserve"> IF(M34 &gt;=2000,"high",IF(M34 &gt;=1000,"medium","low"))</f>
        <v>low</v>
      </c>
    </row>
    <row r="35" spans="1:14">
      <c r="A35" t="s">
        <v>132</v>
      </c>
      <c r="B35" s="2">
        <v>46235</v>
      </c>
      <c r="C35" t="s">
        <v>112</v>
      </c>
      <c r="D35" t="s">
        <v>101</v>
      </c>
      <c r="E35" t="s">
        <v>50</v>
      </c>
      <c r="F35" t="s">
        <v>97</v>
      </c>
      <c r="G35" t="s">
        <v>29</v>
      </c>
      <c r="H35" t="s">
        <v>35</v>
      </c>
      <c r="I35">
        <v>3</v>
      </c>
      <c r="J35">
        <v>50</v>
      </c>
      <c r="K35" t="s">
        <v>67</v>
      </c>
      <c r="L35" t="s">
        <v>41</v>
      </c>
      <c r="M35" s="4">
        <f xml:space="preserve"> I35 * J35</f>
        <v>150</v>
      </c>
      <c r="N35" t="str">
        <f xml:space="preserve"> IF(M35 &gt;=2000,"high",IF(M35 &gt;=1000,"medium","low"))</f>
        <v>low</v>
      </c>
    </row>
    <row r="36" spans="1:14">
      <c r="A36" t="s">
        <v>133</v>
      </c>
      <c r="B36" s="2">
        <v>46264</v>
      </c>
      <c r="C36" t="s">
        <v>124</v>
      </c>
      <c r="D36" t="s">
        <v>96</v>
      </c>
      <c r="E36" t="s">
        <v>49</v>
      </c>
      <c r="F36" t="s">
        <v>97</v>
      </c>
      <c r="G36" t="s">
        <v>29</v>
      </c>
      <c r="H36" t="s">
        <v>37</v>
      </c>
      <c r="I36">
        <v>1</v>
      </c>
      <c r="J36">
        <v>80</v>
      </c>
      <c r="K36" t="s">
        <v>74</v>
      </c>
      <c r="L36" t="s">
        <v>42</v>
      </c>
      <c r="M36" s="4">
        <f xml:space="preserve"> I36 * J36</f>
        <v>80</v>
      </c>
      <c r="N36" t="str">
        <f xml:space="preserve"> IF(M36 &gt;=2000,"high",IF(M36 &gt;=1000,"medium","low"))</f>
        <v>low</v>
      </c>
    </row>
    <row r="37" spans="1:14">
      <c r="A37" t="s">
        <v>134</v>
      </c>
      <c r="B37" s="2">
        <v>46258</v>
      </c>
      <c r="C37" t="s">
        <v>135</v>
      </c>
      <c r="D37" t="s">
        <v>101</v>
      </c>
      <c r="E37" t="s">
        <v>50</v>
      </c>
      <c r="F37" t="s">
        <v>97</v>
      </c>
      <c r="G37" t="s">
        <v>29</v>
      </c>
      <c r="H37" t="s">
        <v>34</v>
      </c>
      <c r="I37">
        <v>1</v>
      </c>
      <c r="J37">
        <v>50</v>
      </c>
      <c r="K37" t="s">
        <v>67</v>
      </c>
      <c r="L37" t="s">
        <v>41</v>
      </c>
      <c r="M37" s="4">
        <f xml:space="preserve"> I37 * J37</f>
        <v>50</v>
      </c>
      <c r="N37" t="str">
        <f xml:space="preserve"> IF(M37 &gt;=2000,"high",IF(M37 &gt;=1000,"medium","low"))</f>
        <v>low</v>
      </c>
    </row>
    <row r="38" spans="1:14">
      <c r="A38" t="s">
        <v>136</v>
      </c>
      <c r="B38" s="2">
        <v>46245</v>
      </c>
      <c r="C38" t="s">
        <v>137</v>
      </c>
      <c r="D38" t="s">
        <v>65</v>
      </c>
      <c r="E38" t="s">
        <v>48</v>
      </c>
      <c r="F38" t="s">
        <v>66</v>
      </c>
      <c r="G38" t="s">
        <v>30</v>
      </c>
      <c r="H38" t="s">
        <v>36</v>
      </c>
      <c r="I38">
        <v>5</v>
      </c>
      <c r="J38">
        <v>900</v>
      </c>
      <c r="K38" t="s">
        <v>79</v>
      </c>
      <c r="L38" t="s">
        <v>42</v>
      </c>
      <c r="M38" s="4">
        <f xml:space="preserve"> I38 * J38</f>
        <v>4500</v>
      </c>
      <c r="N38" t="str">
        <f xml:space="preserve"> IF(M38 &gt;=2000,"high",IF(M38 &gt;=1000,"medium","low"))</f>
        <v>high</v>
      </c>
    </row>
    <row r="39" spans="1:14">
      <c r="A39" t="s">
        <v>138</v>
      </c>
      <c r="B39" s="2">
        <v>46243</v>
      </c>
      <c r="C39" t="s">
        <v>85</v>
      </c>
      <c r="D39" t="s">
        <v>70</v>
      </c>
      <c r="E39" t="s">
        <v>46</v>
      </c>
      <c r="F39" t="s">
        <v>71</v>
      </c>
      <c r="G39" t="s">
        <v>30</v>
      </c>
      <c r="H39" t="s">
        <v>36</v>
      </c>
      <c r="I39">
        <v>3</v>
      </c>
      <c r="J39">
        <v>1200</v>
      </c>
      <c r="K39" t="s">
        <v>79</v>
      </c>
      <c r="L39" t="s">
        <v>43</v>
      </c>
      <c r="M39" s="4">
        <f xml:space="preserve"> I39 * J39</f>
        <v>3600</v>
      </c>
      <c r="N39" t="str">
        <f xml:space="preserve"> IF(M39 &gt;=2000,"high",IF(M39 &gt;=1000,"medium","low"))</f>
        <v>high</v>
      </c>
    </row>
    <row r="40" spans="1:14">
      <c r="A40" t="s">
        <v>139</v>
      </c>
      <c r="B40" s="2">
        <v>46264</v>
      </c>
      <c r="C40" t="s">
        <v>73</v>
      </c>
      <c r="D40" t="s">
        <v>93</v>
      </c>
      <c r="E40" t="s">
        <v>51</v>
      </c>
      <c r="F40" t="s">
        <v>78</v>
      </c>
      <c r="G40" t="s">
        <v>30</v>
      </c>
      <c r="H40" t="s">
        <v>34</v>
      </c>
      <c r="I40">
        <v>5</v>
      </c>
      <c r="J40">
        <v>180</v>
      </c>
      <c r="K40" t="s">
        <v>67</v>
      </c>
      <c r="L40" t="s">
        <v>41</v>
      </c>
      <c r="M40" s="4">
        <f xml:space="preserve"> I40 * J40</f>
        <v>900</v>
      </c>
      <c r="N40" t="str">
        <f xml:space="preserve"> IF(M40 &gt;=2000,"high",IF(M40 &gt;=1000,"medium","low"))</f>
        <v>low</v>
      </c>
    </row>
    <row r="41" spans="1:14">
      <c r="A41" t="s">
        <v>140</v>
      </c>
      <c r="B41" s="2">
        <v>46263</v>
      </c>
      <c r="C41" t="s">
        <v>100</v>
      </c>
      <c r="D41" t="s">
        <v>77</v>
      </c>
      <c r="E41" t="s">
        <v>53</v>
      </c>
      <c r="F41" t="s">
        <v>78</v>
      </c>
      <c r="G41" t="s">
        <v>30</v>
      </c>
      <c r="H41" t="s">
        <v>35</v>
      </c>
      <c r="I41">
        <v>1</v>
      </c>
      <c r="J41">
        <v>650</v>
      </c>
      <c r="K41" t="s">
        <v>79</v>
      </c>
      <c r="L41" t="s">
        <v>41</v>
      </c>
      <c r="M41" s="4">
        <f xml:space="preserve"> I41 * J41</f>
        <v>650</v>
      </c>
      <c r="N41" t="str">
        <f xml:space="preserve"> IF(M41 &gt;=2000,"high",IF(M41 &gt;=1000,"medium","low"))</f>
        <v>low</v>
      </c>
    </row>
    <row r="42" spans="1:14">
      <c r="A42" t="s">
        <v>141</v>
      </c>
      <c r="B42" s="2">
        <v>46244</v>
      </c>
      <c r="C42" t="s">
        <v>142</v>
      </c>
      <c r="D42" t="s">
        <v>93</v>
      </c>
      <c r="E42" t="s">
        <v>51</v>
      </c>
      <c r="F42" t="s">
        <v>78</v>
      </c>
      <c r="G42" t="s">
        <v>30</v>
      </c>
      <c r="H42" t="s">
        <v>34</v>
      </c>
      <c r="I42">
        <v>3</v>
      </c>
      <c r="J42">
        <v>180</v>
      </c>
      <c r="K42" t="s">
        <v>79</v>
      </c>
      <c r="L42" t="s">
        <v>41</v>
      </c>
      <c r="M42" s="4">
        <f xml:space="preserve"> I42 * J42</f>
        <v>540</v>
      </c>
      <c r="N42" t="str">
        <f xml:space="preserve"> IF(M42 &gt;=2000,"high",IF(M42 &gt;=1000,"medium","low"))</f>
        <v>low</v>
      </c>
    </row>
    <row r="43" spans="1:14">
      <c r="A43" t="s">
        <v>143</v>
      </c>
      <c r="B43" s="2">
        <v>46239</v>
      </c>
      <c r="C43" t="s">
        <v>124</v>
      </c>
      <c r="D43" t="s">
        <v>93</v>
      </c>
      <c r="E43" t="s">
        <v>51</v>
      </c>
      <c r="F43" t="s">
        <v>78</v>
      </c>
      <c r="G43" t="s">
        <v>30</v>
      </c>
      <c r="H43" t="s">
        <v>37</v>
      </c>
      <c r="I43">
        <v>3</v>
      </c>
      <c r="J43">
        <v>180</v>
      </c>
      <c r="K43" t="s">
        <v>79</v>
      </c>
      <c r="L43" t="s">
        <v>42</v>
      </c>
      <c r="M43" s="4">
        <f xml:space="preserve"> I43 * J43</f>
        <v>540</v>
      </c>
      <c r="N43" t="str">
        <f xml:space="preserve"> IF(M43 &gt;=2000,"high",IF(M43 &gt;=1000,"medium","low"))</f>
        <v>low</v>
      </c>
    </row>
    <row r="44" spans="1:14">
      <c r="A44" t="s">
        <v>144</v>
      </c>
      <c r="B44" s="2">
        <v>46238</v>
      </c>
      <c r="C44" t="s">
        <v>88</v>
      </c>
      <c r="D44" t="s">
        <v>86</v>
      </c>
      <c r="E44" t="s">
        <v>52</v>
      </c>
      <c r="F44" t="s">
        <v>66</v>
      </c>
      <c r="G44" t="s">
        <v>30</v>
      </c>
      <c r="H44" t="s">
        <v>36</v>
      </c>
      <c r="I44">
        <v>1</v>
      </c>
      <c r="J44">
        <v>350</v>
      </c>
      <c r="K44" t="s">
        <v>74</v>
      </c>
      <c r="L44" t="s">
        <v>43</v>
      </c>
      <c r="M44" s="4">
        <f xml:space="preserve"> I44 * J44</f>
        <v>350</v>
      </c>
      <c r="N44" t="str">
        <f xml:space="preserve"> IF(M44 &gt;=2000,"high",IF(M44 &gt;=1000,"medium","low"))</f>
        <v>low</v>
      </c>
    </row>
    <row r="45" spans="1:14">
      <c r="A45" t="s">
        <v>145</v>
      </c>
      <c r="B45" s="2">
        <v>46259</v>
      </c>
      <c r="C45" t="s">
        <v>146</v>
      </c>
      <c r="D45" t="s">
        <v>96</v>
      </c>
      <c r="E45" t="s">
        <v>49</v>
      </c>
      <c r="F45" t="s">
        <v>97</v>
      </c>
      <c r="G45" t="s">
        <v>30</v>
      </c>
      <c r="H45" t="s">
        <v>34</v>
      </c>
      <c r="I45">
        <v>3</v>
      </c>
      <c r="J45">
        <v>80</v>
      </c>
      <c r="K45" t="s">
        <v>79</v>
      </c>
      <c r="L45" t="s">
        <v>42</v>
      </c>
      <c r="M45" s="4">
        <f xml:space="preserve"> I45 * J45</f>
        <v>240</v>
      </c>
      <c r="N45" t="str">
        <f xml:space="preserve"> IF(M45 &gt;=2000,"high",IF(M45 &gt;=1000,"medium","low"))</f>
        <v>low</v>
      </c>
    </row>
    <row r="46" spans="1:14">
      <c r="A46" t="s">
        <v>147</v>
      </c>
      <c r="B46" s="2">
        <v>46263</v>
      </c>
      <c r="C46" t="s">
        <v>104</v>
      </c>
      <c r="D46" t="s">
        <v>101</v>
      </c>
      <c r="E46" t="s">
        <v>50</v>
      </c>
      <c r="F46" t="s">
        <v>97</v>
      </c>
      <c r="G46" t="s">
        <v>30</v>
      </c>
      <c r="H46" t="s">
        <v>35</v>
      </c>
      <c r="I46">
        <v>4</v>
      </c>
      <c r="J46">
        <v>50</v>
      </c>
      <c r="K46" t="s">
        <v>79</v>
      </c>
      <c r="L46" t="s">
        <v>42</v>
      </c>
      <c r="M46" s="4">
        <f xml:space="preserve"> I46 * J46</f>
        <v>200</v>
      </c>
      <c r="N46" t="str">
        <f xml:space="preserve"> IF(M46 &gt;=2000,"high",IF(M46 &gt;=1000,"medium","low"))</f>
        <v>low</v>
      </c>
    </row>
    <row r="47" spans="1:14">
      <c r="A47" t="s">
        <v>148</v>
      </c>
      <c r="B47" s="2">
        <v>46252</v>
      </c>
      <c r="C47" t="s">
        <v>142</v>
      </c>
      <c r="D47" t="s">
        <v>101</v>
      </c>
      <c r="E47" t="s">
        <v>50</v>
      </c>
      <c r="F47" t="s">
        <v>97</v>
      </c>
      <c r="G47" t="s">
        <v>30</v>
      </c>
      <c r="H47" t="s">
        <v>34</v>
      </c>
      <c r="I47">
        <v>1</v>
      </c>
      <c r="J47">
        <v>50</v>
      </c>
      <c r="K47" t="s">
        <v>74</v>
      </c>
      <c r="L47" t="s">
        <v>41</v>
      </c>
      <c r="M47" s="4">
        <f xml:space="preserve"> I47 * J47</f>
        <v>50</v>
      </c>
      <c r="N47" t="str">
        <f xml:space="preserve"> IF(M47 &gt;=2000,"high",IF(M47 &gt;=1000,"medium","low"))</f>
        <v>low</v>
      </c>
    </row>
    <row r="48" spans="1:14">
      <c r="A48" t="s">
        <v>149</v>
      </c>
      <c r="B48" s="2">
        <v>46245</v>
      </c>
      <c r="C48" t="s">
        <v>150</v>
      </c>
      <c r="D48" t="s">
        <v>70</v>
      </c>
      <c r="E48" t="s">
        <v>46</v>
      </c>
      <c r="F48" t="s">
        <v>71</v>
      </c>
      <c r="G48" t="s">
        <v>31</v>
      </c>
      <c r="H48" t="s">
        <v>36</v>
      </c>
      <c r="I48">
        <v>5</v>
      </c>
      <c r="J48">
        <v>1200</v>
      </c>
      <c r="K48" t="s">
        <v>67</v>
      </c>
      <c r="L48" t="s">
        <v>43</v>
      </c>
      <c r="M48" s="4">
        <f xml:space="preserve"> I48 * J48</f>
        <v>6000</v>
      </c>
      <c r="N48" t="str">
        <f xml:space="preserve"> IF(M48 &gt;=2000,"high",IF(M48 &gt;=1000,"medium","low"))</f>
        <v>high</v>
      </c>
    </row>
    <row r="49" spans="1:14">
      <c r="A49" t="s">
        <v>151</v>
      </c>
      <c r="B49" s="2">
        <v>46235</v>
      </c>
      <c r="C49" t="s">
        <v>137</v>
      </c>
      <c r="D49" t="s">
        <v>70</v>
      </c>
      <c r="E49" t="s">
        <v>46</v>
      </c>
      <c r="F49" t="s">
        <v>71</v>
      </c>
      <c r="G49" t="s">
        <v>31</v>
      </c>
      <c r="H49" t="s">
        <v>34</v>
      </c>
      <c r="I49">
        <v>5</v>
      </c>
      <c r="J49">
        <v>1200</v>
      </c>
      <c r="K49" t="s">
        <v>79</v>
      </c>
      <c r="L49" t="s">
        <v>41</v>
      </c>
      <c r="M49" s="4">
        <f xml:space="preserve"> I49 * J49</f>
        <v>6000</v>
      </c>
      <c r="N49" t="str">
        <f xml:space="preserve"> IF(M49 &gt;=2000,"high",IF(M49 &gt;=1000,"medium","low"))</f>
        <v>high</v>
      </c>
    </row>
    <row r="50" spans="1:14">
      <c r="A50" t="s">
        <v>152</v>
      </c>
      <c r="B50" s="2">
        <v>46254</v>
      </c>
      <c r="C50" t="s">
        <v>100</v>
      </c>
      <c r="D50" t="s">
        <v>77</v>
      </c>
      <c r="E50" t="s">
        <v>53</v>
      </c>
      <c r="F50" t="s">
        <v>78</v>
      </c>
      <c r="G50" t="s">
        <v>31</v>
      </c>
      <c r="H50" t="s">
        <v>37</v>
      </c>
      <c r="I50">
        <v>5</v>
      </c>
      <c r="J50">
        <v>650</v>
      </c>
      <c r="K50" t="s">
        <v>79</v>
      </c>
      <c r="L50" t="s">
        <v>43</v>
      </c>
      <c r="M50" s="4">
        <f xml:space="preserve"> I50 * J50</f>
        <v>3250</v>
      </c>
      <c r="N50" t="str">
        <f xml:space="preserve"> IF(M50 &gt;=2000,"high",IF(M50 &gt;=1000,"medium","low"))</f>
        <v>high</v>
      </c>
    </row>
    <row r="51" spans="1:14">
      <c r="A51" t="s">
        <v>153</v>
      </c>
      <c r="B51" s="2">
        <v>46243</v>
      </c>
      <c r="C51" t="s">
        <v>154</v>
      </c>
      <c r="D51" t="s">
        <v>116</v>
      </c>
      <c r="E51" t="s">
        <v>47</v>
      </c>
      <c r="F51" t="s">
        <v>78</v>
      </c>
      <c r="G51" t="s">
        <v>31</v>
      </c>
      <c r="H51" t="s">
        <v>36</v>
      </c>
      <c r="I51">
        <v>5</v>
      </c>
      <c r="J51">
        <v>450</v>
      </c>
      <c r="K51" t="s">
        <v>79</v>
      </c>
      <c r="L51" t="s">
        <v>41</v>
      </c>
      <c r="M51" s="4">
        <f xml:space="preserve"> I51 * J51</f>
        <v>2250</v>
      </c>
      <c r="N51" t="str">
        <f xml:space="preserve"> IF(M51 &gt;=2000,"high",IF(M51 &gt;=1000,"medium","low"))</f>
        <v>high</v>
      </c>
    </row>
    <row r="52" spans="1:14">
      <c r="A52" t="s">
        <v>155</v>
      </c>
      <c r="B52" s="2">
        <v>46245</v>
      </c>
      <c r="C52" t="s">
        <v>85</v>
      </c>
      <c r="D52" t="s">
        <v>86</v>
      </c>
      <c r="E52" t="s">
        <v>52</v>
      </c>
      <c r="F52" t="s">
        <v>66</v>
      </c>
      <c r="G52" t="s">
        <v>31</v>
      </c>
      <c r="H52" t="s">
        <v>37</v>
      </c>
      <c r="I52">
        <v>4</v>
      </c>
      <c r="J52">
        <v>350</v>
      </c>
      <c r="K52" t="s">
        <v>79</v>
      </c>
      <c r="L52" t="s">
        <v>43</v>
      </c>
      <c r="M52" s="4">
        <f xml:space="preserve"> I52 * J52</f>
        <v>1400</v>
      </c>
      <c r="N52" t="str">
        <f xml:space="preserve"> IF(M52 &gt;=2000,"high",IF(M52 &gt;=1000,"medium","low"))</f>
        <v>medium</v>
      </c>
    </row>
    <row r="53" spans="1:14">
      <c r="A53" t="s">
        <v>156</v>
      </c>
      <c r="B53" s="2">
        <v>46263</v>
      </c>
      <c r="C53" t="s">
        <v>114</v>
      </c>
      <c r="D53" t="s">
        <v>116</v>
      </c>
      <c r="E53" t="s">
        <v>47</v>
      </c>
      <c r="F53" t="s">
        <v>78</v>
      </c>
      <c r="G53" t="s">
        <v>31</v>
      </c>
      <c r="H53" t="s">
        <v>37</v>
      </c>
      <c r="I53">
        <v>3</v>
      </c>
      <c r="J53">
        <v>450</v>
      </c>
      <c r="K53" t="s">
        <v>74</v>
      </c>
      <c r="L53" t="s">
        <v>41</v>
      </c>
      <c r="M53" s="4">
        <f xml:space="preserve"> I53 * J53</f>
        <v>1350</v>
      </c>
      <c r="N53" t="str">
        <f xml:space="preserve"> IF(M53 &gt;=2000,"high",IF(M53 &gt;=1000,"medium","low"))</f>
        <v>medium</v>
      </c>
    </row>
    <row r="54" spans="1:14">
      <c r="A54" t="s">
        <v>157</v>
      </c>
      <c r="B54" s="2">
        <v>46265</v>
      </c>
      <c r="C54" t="s">
        <v>69</v>
      </c>
      <c r="D54" t="s">
        <v>93</v>
      </c>
      <c r="E54" t="s">
        <v>51</v>
      </c>
      <c r="F54" t="s">
        <v>78</v>
      </c>
      <c r="G54" t="s">
        <v>31</v>
      </c>
      <c r="H54" t="s">
        <v>36</v>
      </c>
      <c r="I54">
        <v>5</v>
      </c>
      <c r="J54">
        <v>180</v>
      </c>
      <c r="K54" t="s">
        <v>74</v>
      </c>
      <c r="L54" t="s">
        <v>41</v>
      </c>
      <c r="M54" s="4">
        <f xml:space="preserve"> I54 * J54</f>
        <v>900</v>
      </c>
      <c r="N54" t="str">
        <f xml:space="preserve"> IF(M54 &gt;=2000,"high",IF(M54 &gt;=1000,"medium","low"))</f>
        <v>low</v>
      </c>
    </row>
    <row r="55" spans="1:14">
      <c r="A55" t="s">
        <v>158</v>
      </c>
      <c r="B55" s="2">
        <v>46253</v>
      </c>
      <c r="C55" t="s">
        <v>95</v>
      </c>
      <c r="D55" t="s">
        <v>77</v>
      </c>
      <c r="E55" t="s">
        <v>53</v>
      </c>
      <c r="F55" t="s">
        <v>78</v>
      </c>
      <c r="G55" t="s">
        <v>31</v>
      </c>
      <c r="H55" t="s">
        <v>36</v>
      </c>
      <c r="I55">
        <v>1</v>
      </c>
      <c r="J55">
        <v>650</v>
      </c>
      <c r="K55" t="s">
        <v>67</v>
      </c>
      <c r="L55" t="s">
        <v>41</v>
      </c>
      <c r="M55" s="4">
        <f xml:space="preserve"> I55 * J55</f>
        <v>650</v>
      </c>
      <c r="N55" t="str">
        <f xml:space="preserve"> IF(M55 &gt;=2000,"high",IF(M55 &gt;=1000,"medium","low"))</f>
        <v>low</v>
      </c>
    </row>
    <row r="56" spans="1:14">
      <c r="A56" t="s">
        <v>159</v>
      </c>
      <c r="B56" s="2">
        <v>46256</v>
      </c>
      <c r="C56" t="s">
        <v>73</v>
      </c>
      <c r="D56" t="s">
        <v>116</v>
      </c>
      <c r="E56" t="s">
        <v>47</v>
      </c>
      <c r="F56" t="s">
        <v>78</v>
      </c>
      <c r="G56" t="s">
        <v>31</v>
      </c>
      <c r="H56" t="s">
        <v>37</v>
      </c>
      <c r="I56">
        <v>1</v>
      </c>
      <c r="J56">
        <v>450</v>
      </c>
      <c r="K56" t="s">
        <v>79</v>
      </c>
      <c r="L56" t="s">
        <v>41</v>
      </c>
      <c r="M56" s="4">
        <f xml:space="preserve"> I56 * J56</f>
        <v>450</v>
      </c>
      <c r="N56" t="str">
        <f xml:space="preserve"> IF(M56 &gt;=2000,"high",IF(M56 &gt;=1000,"medium","low"))</f>
        <v>low</v>
      </c>
    </row>
    <row r="57" spans="1:14">
      <c r="A57" t="s">
        <v>160</v>
      </c>
      <c r="B57" s="2">
        <v>46260</v>
      </c>
      <c r="C57" t="s">
        <v>88</v>
      </c>
      <c r="D57" t="s">
        <v>93</v>
      </c>
      <c r="E57" t="s">
        <v>51</v>
      </c>
      <c r="F57" t="s">
        <v>78</v>
      </c>
      <c r="G57" t="s">
        <v>31</v>
      </c>
      <c r="H57" t="s">
        <v>37</v>
      </c>
      <c r="I57">
        <v>2</v>
      </c>
      <c r="J57">
        <v>180</v>
      </c>
      <c r="K57" t="s">
        <v>74</v>
      </c>
      <c r="L57" t="s">
        <v>43</v>
      </c>
      <c r="M57" s="4">
        <f xml:space="preserve"> I57 * J57</f>
        <v>360</v>
      </c>
      <c r="N57" t="str">
        <f xml:space="preserve"> IF(M57 &gt;=2000,"high",IF(M57 &gt;=1000,"medium","low"))</f>
        <v>low</v>
      </c>
    </row>
    <row r="58" spans="1:14">
      <c r="A58" t="s">
        <v>161</v>
      </c>
      <c r="B58" s="2">
        <v>46258</v>
      </c>
      <c r="C58" t="s">
        <v>162</v>
      </c>
      <c r="D58" t="s">
        <v>86</v>
      </c>
      <c r="E58" t="s">
        <v>52</v>
      </c>
      <c r="F58" t="s">
        <v>66</v>
      </c>
      <c r="G58" t="s">
        <v>31</v>
      </c>
      <c r="H58" t="s">
        <v>37</v>
      </c>
      <c r="I58">
        <v>1</v>
      </c>
      <c r="J58">
        <v>350</v>
      </c>
      <c r="K58" t="s">
        <v>67</v>
      </c>
      <c r="L58" t="s">
        <v>43</v>
      </c>
      <c r="M58" s="4">
        <f xml:space="preserve"> I58 * J58</f>
        <v>350</v>
      </c>
      <c r="N58" t="str">
        <f xml:space="preserve"> IF(M58 &gt;=2000,"high",IF(M58 &gt;=1000,"medium","low"))</f>
        <v>low</v>
      </c>
    </row>
    <row r="59" spans="1:14">
      <c r="A59" t="s">
        <v>163</v>
      </c>
      <c r="B59" s="2">
        <v>46262</v>
      </c>
      <c r="C59" t="s">
        <v>112</v>
      </c>
      <c r="D59" t="s">
        <v>86</v>
      </c>
      <c r="E59" t="s">
        <v>52</v>
      </c>
      <c r="F59" t="s">
        <v>66</v>
      </c>
      <c r="G59" t="s">
        <v>31</v>
      </c>
      <c r="H59" t="s">
        <v>37</v>
      </c>
      <c r="I59">
        <v>1</v>
      </c>
      <c r="J59">
        <v>350</v>
      </c>
      <c r="K59" t="s">
        <v>74</v>
      </c>
      <c r="L59" t="s">
        <v>42</v>
      </c>
      <c r="M59" s="4">
        <f xml:space="preserve"> I59 * J59</f>
        <v>350</v>
      </c>
      <c r="N59" t="str">
        <f xml:space="preserve"> IF(M59 &gt;=2000,"high",IF(M59 &gt;=1000,"medium","low"))</f>
        <v>low</v>
      </c>
    </row>
    <row r="60" spans="1:14">
      <c r="A60" t="s">
        <v>164</v>
      </c>
      <c r="B60" s="2">
        <v>46248</v>
      </c>
      <c r="C60" t="s">
        <v>100</v>
      </c>
      <c r="D60" t="s">
        <v>101</v>
      </c>
      <c r="E60" t="s">
        <v>50</v>
      </c>
      <c r="F60" t="s">
        <v>97</v>
      </c>
      <c r="G60" t="s">
        <v>31</v>
      </c>
      <c r="H60" t="s">
        <v>35</v>
      </c>
      <c r="I60">
        <v>5</v>
      </c>
      <c r="J60">
        <v>50</v>
      </c>
      <c r="K60" t="s">
        <v>67</v>
      </c>
      <c r="L60" t="s">
        <v>41</v>
      </c>
      <c r="M60" s="4">
        <f xml:space="preserve"> I60 * J60</f>
        <v>250</v>
      </c>
      <c r="N60" t="str">
        <f xml:space="preserve"> IF(M60 &gt;=2000,"high",IF(M60 &gt;=1000,"medium","low"))</f>
        <v>low</v>
      </c>
    </row>
    <row r="61" spans="1:14">
      <c r="A61" t="s">
        <v>165</v>
      </c>
      <c r="B61" s="2">
        <v>46258</v>
      </c>
      <c r="C61" t="s">
        <v>166</v>
      </c>
      <c r="D61" t="s">
        <v>101</v>
      </c>
      <c r="E61" t="s">
        <v>50</v>
      </c>
      <c r="F61" t="s">
        <v>97</v>
      </c>
      <c r="G61" t="s">
        <v>31</v>
      </c>
      <c r="H61" t="s">
        <v>34</v>
      </c>
      <c r="I61">
        <v>1</v>
      </c>
      <c r="J61">
        <v>50</v>
      </c>
      <c r="K61" t="s">
        <v>67</v>
      </c>
      <c r="L61" t="s">
        <v>42</v>
      </c>
      <c r="M61" s="4">
        <f xml:space="preserve"> I61 * J61</f>
        <v>50</v>
      </c>
      <c r="N61" t="str">
        <f xml:space="preserve"> IF(M61 &gt;=2000,"high",IF(M61 &gt;=1000,"medium","low"))</f>
        <v>low</v>
      </c>
    </row>
  </sheetData>
  <conditionalFormatting sqref="M1:M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L2:L1048576" xr:uid="{BF72F17F-8199-4824-B0B5-4365F041FB72}">
      <formula1>"Completed,Pending,Cancelled"</formula1>
    </dataValidation>
    <dataValidation allowBlank="1" showInputMessage="1" showErrorMessage="1" sqref="L1" xr:uid="{2FF17FBA-F396-47FA-A62E-21D818819667}"/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activeCell="A9" sqref="A1:D9"/>
    </sheetView>
  </sheetViews>
  <sheetFormatPr defaultRowHeight="15"/>
  <cols>
    <col min="1" max="1" width="15.42578125" customWidth="1"/>
    <col min="2" max="2" width="19.140625" customWidth="1"/>
    <col min="3" max="3" width="18.7109375" customWidth="1"/>
    <col min="4" max="4" width="19.140625" customWidth="1"/>
  </cols>
  <sheetData>
    <row r="1" spans="1:4">
      <c r="A1" s="1" t="s">
        <v>57</v>
      </c>
      <c r="B1" s="1" t="s">
        <v>45</v>
      </c>
      <c r="C1" s="1" t="s">
        <v>58</v>
      </c>
      <c r="D1" s="1" t="s">
        <v>60</v>
      </c>
    </row>
    <row r="2" spans="1:4">
      <c r="A2" t="s">
        <v>96</v>
      </c>
      <c r="B2" t="s">
        <v>49</v>
      </c>
      <c r="C2" t="s">
        <v>97</v>
      </c>
      <c r="D2">
        <v>80</v>
      </c>
    </row>
    <row r="3" spans="1:4">
      <c r="A3" t="s">
        <v>101</v>
      </c>
      <c r="B3" t="s">
        <v>50</v>
      </c>
      <c r="C3" t="s">
        <v>97</v>
      </c>
      <c r="D3">
        <v>50</v>
      </c>
    </row>
    <row r="4" spans="1:4">
      <c r="A4" t="s">
        <v>93</v>
      </c>
      <c r="B4" t="s">
        <v>51</v>
      </c>
      <c r="C4" t="s">
        <v>78</v>
      </c>
      <c r="D4">
        <v>180</v>
      </c>
    </row>
    <row r="5" spans="1:4">
      <c r="A5" t="s">
        <v>77</v>
      </c>
      <c r="B5" t="s">
        <v>53</v>
      </c>
      <c r="C5" t="s">
        <v>78</v>
      </c>
      <c r="D5">
        <v>650</v>
      </c>
    </row>
    <row r="6" spans="1:4">
      <c r="A6" t="s">
        <v>86</v>
      </c>
      <c r="B6" t="s">
        <v>52</v>
      </c>
      <c r="C6" t="s">
        <v>66</v>
      </c>
      <c r="D6">
        <v>350</v>
      </c>
    </row>
    <row r="7" spans="1:4">
      <c r="A7" t="s">
        <v>65</v>
      </c>
      <c r="B7" t="s">
        <v>48</v>
      </c>
      <c r="C7" t="s">
        <v>66</v>
      </c>
      <c r="D7">
        <v>900</v>
      </c>
    </row>
    <row r="8" spans="1:4">
      <c r="A8" t="s">
        <v>70</v>
      </c>
      <c r="B8" t="s">
        <v>46</v>
      </c>
      <c r="C8" t="s">
        <v>71</v>
      </c>
      <c r="D8">
        <v>1200</v>
      </c>
    </row>
    <row r="9" spans="1:4">
      <c r="A9" t="s">
        <v>116</v>
      </c>
      <c r="B9" t="s">
        <v>47</v>
      </c>
      <c r="C9" t="s">
        <v>78</v>
      </c>
      <c r="D9">
        <v>450</v>
      </c>
    </row>
  </sheetData>
  <autoFilter ref="A1:D9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9BEF-CC3E-4559-974E-3CFA5C06A72B}">
  <dimension ref="A2:J73"/>
  <sheetViews>
    <sheetView topLeftCell="A43" workbookViewId="0">
      <selection activeCell="E44" sqref="E44"/>
    </sheetView>
  </sheetViews>
  <sheetFormatPr defaultRowHeight="15"/>
  <cols>
    <col min="1" max="1" width="36.7109375" bestFit="1" customWidth="1"/>
    <col min="2" max="3" width="15.7109375" bestFit="1" customWidth="1"/>
    <col min="4" max="4" width="11.42578125" bestFit="1" customWidth="1"/>
    <col min="5" max="5" width="11.7109375" customWidth="1"/>
    <col min="6" max="7" width="10.28515625" bestFit="1" customWidth="1"/>
    <col min="8" max="8" width="12.7109375" bestFit="1" customWidth="1"/>
    <col min="9" max="9" width="15.5703125" bestFit="1" customWidth="1"/>
    <col min="10" max="10" width="11.7109375" bestFit="1" customWidth="1"/>
    <col min="11" max="11" width="20.85546875" bestFit="1" customWidth="1"/>
  </cols>
  <sheetData>
    <row r="2" spans="1:5">
      <c r="A2" t="s">
        <v>167</v>
      </c>
    </row>
    <row r="3" spans="1:5">
      <c r="A3" s="5" t="s">
        <v>26</v>
      </c>
      <c r="B3" t="s">
        <v>168</v>
      </c>
    </row>
    <row r="4" spans="1:5">
      <c r="A4" t="s">
        <v>28</v>
      </c>
      <c r="B4" s="4">
        <v>22300</v>
      </c>
    </row>
    <row r="5" spans="1:5">
      <c r="A5" t="s">
        <v>29</v>
      </c>
      <c r="B5" s="4">
        <v>29350</v>
      </c>
    </row>
    <row r="6" spans="1:5">
      <c r="A6" t="s">
        <v>30</v>
      </c>
      <c r="B6" s="4">
        <v>11570</v>
      </c>
    </row>
    <row r="7" spans="1:5">
      <c r="A7" t="s">
        <v>31</v>
      </c>
      <c r="B7" s="4">
        <v>23610</v>
      </c>
    </row>
    <row r="8" spans="1:5">
      <c r="A8" t="s">
        <v>169</v>
      </c>
      <c r="B8" s="4">
        <v>86830</v>
      </c>
    </row>
    <row r="12" spans="1:5">
      <c r="A12" t="s">
        <v>170</v>
      </c>
    </row>
    <row r="13" spans="1:5">
      <c r="A13" s="5" t="s">
        <v>171</v>
      </c>
      <c r="B13" s="5" t="s">
        <v>39</v>
      </c>
    </row>
    <row r="14" spans="1:5">
      <c r="A14" s="5" t="s">
        <v>26</v>
      </c>
      <c r="B14" t="s">
        <v>43</v>
      </c>
      <c r="C14" t="s">
        <v>41</v>
      </c>
      <c r="D14" t="s">
        <v>42</v>
      </c>
      <c r="E14" t="s">
        <v>169</v>
      </c>
    </row>
    <row r="15" spans="1:5">
      <c r="A15" t="s">
        <v>28</v>
      </c>
      <c r="B15" s="7">
        <v>3</v>
      </c>
      <c r="C15" s="7">
        <v>10</v>
      </c>
      <c r="D15" s="7">
        <v>2</v>
      </c>
      <c r="E15" s="7">
        <v>15</v>
      </c>
    </row>
    <row r="16" spans="1:5">
      <c r="A16" t="s">
        <v>29</v>
      </c>
      <c r="B16" s="7">
        <v>2</v>
      </c>
      <c r="C16" s="7">
        <v>13</v>
      </c>
      <c r="D16" s="7">
        <v>6</v>
      </c>
      <c r="E16" s="7">
        <v>21</v>
      </c>
    </row>
    <row r="17" spans="1:5">
      <c r="A17" t="s">
        <v>30</v>
      </c>
      <c r="B17" s="7">
        <v>2</v>
      </c>
      <c r="C17" s="7">
        <v>4</v>
      </c>
      <c r="D17" s="7">
        <v>4</v>
      </c>
      <c r="E17" s="7">
        <v>10</v>
      </c>
    </row>
    <row r="18" spans="1:5">
      <c r="A18" t="s">
        <v>31</v>
      </c>
      <c r="B18" s="7">
        <v>5</v>
      </c>
      <c r="C18" s="7">
        <v>7</v>
      </c>
      <c r="D18" s="7">
        <v>2</v>
      </c>
      <c r="E18" s="7">
        <v>14</v>
      </c>
    </row>
    <row r="19" spans="1:5">
      <c r="A19" t="s">
        <v>169</v>
      </c>
      <c r="B19" s="7">
        <v>12</v>
      </c>
      <c r="C19" s="7">
        <v>34</v>
      </c>
      <c r="D19" s="7">
        <v>14</v>
      </c>
      <c r="E19" s="7">
        <v>60</v>
      </c>
    </row>
    <row r="21" spans="1:5">
      <c r="A21" t="s">
        <v>172</v>
      </c>
    </row>
    <row r="22" spans="1:5">
      <c r="A22" s="5" t="s">
        <v>168</v>
      </c>
      <c r="B22" s="5" t="s">
        <v>39</v>
      </c>
    </row>
    <row r="23" spans="1:5">
      <c r="A23" s="5" t="s">
        <v>33</v>
      </c>
      <c r="B23" t="s">
        <v>43</v>
      </c>
      <c r="C23" t="s">
        <v>41</v>
      </c>
      <c r="D23" t="s">
        <v>42</v>
      </c>
      <c r="E23" t="s">
        <v>169</v>
      </c>
    </row>
    <row r="24" spans="1:5">
      <c r="A24" t="s">
        <v>35</v>
      </c>
      <c r="B24" s="4">
        <v>1550</v>
      </c>
      <c r="C24" s="4">
        <v>16150</v>
      </c>
      <c r="D24" s="4">
        <v>2150</v>
      </c>
      <c r="E24" s="4">
        <v>19850</v>
      </c>
    </row>
    <row r="25" spans="1:5">
      <c r="A25" t="s">
        <v>36</v>
      </c>
      <c r="B25" s="4">
        <v>11900</v>
      </c>
      <c r="C25" s="4">
        <v>9450</v>
      </c>
      <c r="D25" s="4">
        <v>6900</v>
      </c>
      <c r="E25" s="4">
        <v>28250</v>
      </c>
    </row>
    <row r="26" spans="1:5">
      <c r="A26" t="s">
        <v>37</v>
      </c>
      <c r="B26" s="4">
        <v>5540</v>
      </c>
      <c r="C26" s="4">
        <v>2700</v>
      </c>
      <c r="D26" s="4">
        <v>5320</v>
      </c>
      <c r="E26" s="4">
        <v>13560</v>
      </c>
    </row>
    <row r="27" spans="1:5">
      <c r="A27" t="s">
        <v>34</v>
      </c>
      <c r="B27" s="4">
        <v>400</v>
      </c>
      <c r="C27" s="4">
        <v>20680</v>
      </c>
      <c r="D27" s="4">
        <v>4090</v>
      </c>
      <c r="E27" s="4">
        <v>25170</v>
      </c>
    </row>
    <row r="28" spans="1:5">
      <c r="A28" t="s">
        <v>169</v>
      </c>
      <c r="B28" s="4">
        <v>19390</v>
      </c>
      <c r="C28" s="4">
        <v>48980</v>
      </c>
      <c r="D28" s="4">
        <v>18460</v>
      </c>
      <c r="E28" s="4">
        <v>86830</v>
      </c>
    </row>
    <row r="34" spans="1:4">
      <c r="A34" t="s">
        <v>173</v>
      </c>
    </row>
    <row r="35" spans="1:4">
      <c r="A35" s="5" t="s">
        <v>33</v>
      </c>
      <c r="B35" t="s">
        <v>171</v>
      </c>
      <c r="C35" t="s">
        <v>168</v>
      </c>
    </row>
    <row r="36" spans="1:4">
      <c r="A36" t="s">
        <v>35</v>
      </c>
      <c r="B36" s="7">
        <v>15</v>
      </c>
      <c r="C36" s="4">
        <v>19850</v>
      </c>
      <c r="D36" s="4"/>
    </row>
    <row r="37" spans="1:4">
      <c r="A37" t="s">
        <v>36</v>
      </c>
      <c r="B37" s="7">
        <v>14</v>
      </c>
      <c r="C37" s="4">
        <v>28250</v>
      </c>
      <c r="D37" s="4"/>
    </row>
    <row r="38" spans="1:4">
      <c r="A38" t="s">
        <v>37</v>
      </c>
      <c r="B38" s="7">
        <v>14</v>
      </c>
      <c r="C38" s="4">
        <v>13560</v>
      </c>
    </row>
    <row r="39" spans="1:4">
      <c r="A39" t="s">
        <v>34</v>
      </c>
      <c r="B39" s="7">
        <v>17</v>
      </c>
      <c r="C39" s="4">
        <v>25170</v>
      </c>
    </row>
    <row r="40" spans="1:4">
      <c r="A40" t="s">
        <v>169</v>
      </c>
      <c r="B40" s="7">
        <v>60</v>
      </c>
      <c r="C40" s="4">
        <v>86830</v>
      </c>
    </row>
    <row r="42" spans="1:4">
      <c r="A42" s="5" t="s">
        <v>39</v>
      </c>
      <c r="B42" t="s">
        <v>41</v>
      </c>
    </row>
    <row r="43" spans="1:4">
      <c r="A43" t="s">
        <v>174</v>
      </c>
    </row>
    <row r="44" spans="1:4">
      <c r="A44" s="5" t="s">
        <v>33</v>
      </c>
      <c r="B44" t="s">
        <v>168</v>
      </c>
    </row>
    <row r="45" spans="1:4">
      <c r="A45" t="s">
        <v>35</v>
      </c>
      <c r="B45" s="4">
        <v>16150</v>
      </c>
    </row>
    <row r="46" spans="1:4">
      <c r="A46" t="s">
        <v>36</v>
      </c>
      <c r="B46" s="4">
        <v>9450</v>
      </c>
    </row>
    <row r="47" spans="1:4">
      <c r="A47" t="s">
        <v>37</v>
      </c>
      <c r="B47" s="4">
        <v>2700</v>
      </c>
    </row>
    <row r="48" spans="1:4">
      <c r="A48" t="s">
        <v>34</v>
      </c>
      <c r="B48" s="4">
        <v>20680</v>
      </c>
    </row>
    <row r="49" spans="1:3">
      <c r="A49" t="s">
        <v>169</v>
      </c>
      <c r="B49" s="4">
        <v>48980</v>
      </c>
    </row>
    <row r="52" spans="1:3">
      <c r="A52" s="5" t="s">
        <v>33</v>
      </c>
      <c r="B52" t="s">
        <v>34</v>
      </c>
    </row>
    <row r="53" spans="1:3">
      <c r="A53" s="5" t="s">
        <v>39</v>
      </c>
      <c r="B53" t="s">
        <v>41</v>
      </c>
    </row>
    <row r="55" spans="1:3">
      <c r="A55" s="5" t="s">
        <v>45</v>
      </c>
      <c r="B55" t="s">
        <v>175</v>
      </c>
      <c r="C55" t="s">
        <v>168</v>
      </c>
    </row>
    <row r="56" spans="1:3">
      <c r="A56" t="s">
        <v>46</v>
      </c>
      <c r="B56" s="7">
        <v>6</v>
      </c>
      <c r="C56" s="4">
        <v>7200</v>
      </c>
    </row>
    <row r="57" spans="1:3">
      <c r="A57" t="s">
        <v>48</v>
      </c>
      <c r="B57" s="7">
        <v>11</v>
      </c>
      <c r="C57" s="4">
        <v>9900</v>
      </c>
    </row>
    <row r="58" spans="1:3">
      <c r="A58" t="s">
        <v>50</v>
      </c>
      <c r="B58" s="7">
        <v>4</v>
      </c>
      <c r="C58" s="4">
        <v>200</v>
      </c>
    </row>
    <row r="59" spans="1:3">
      <c r="A59" t="s">
        <v>51</v>
      </c>
      <c r="B59" s="7">
        <v>11</v>
      </c>
      <c r="C59" s="4">
        <v>1980</v>
      </c>
    </row>
    <row r="60" spans="1:3">
      <c r="A60" t="s">
        <v>52</v>
      </c>
      <c r="B60" s="7">
        <v>4</v>
      </c>
      <c r="C60" s="4">
        <v>1400</v>
      </c>
    </row>
    <row r="61" spans="1:3">
      <c r="A61" t="s">
        <v>169</v>
      </c>
      <c r="B61" s="7">
        <v>36</v>
      </c>
      <c r="C61" s="4">
        <v>20680</v>
      </c>
    </row>
    <row r="67" spans="1:10">
      <c r="A67" s="5" t="s">
        <v>168</v>
      </c>
      <c r="B67" s="5" t="s">
        <v>45</v>
      </c>
    </row>
    <row r="68" spans="1:10">
      <c r="A68" s="5" t="s">
        <v>33</v>
      </c>
      <c r="B68" t="s">
        <v>46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169</v>
      </c>
    </row>
    <row r="69" spans="1:10">
      <c r="A69" t="s">
        <v>35</v>
      </c>
      <c r="B69" s="4">
        <v>3600</v>
      </c>
      <c r="C69" s="4">
        <v>2250</v>
      </c>
      <c r="D69" s="4">
        <v>4500</v>
      </c>
      <c r="E69" s="4"/>
      <c r="F69" s="4">
        <v>900</v>
      </c>
      <c r="G69" s="4">
        <v>900</v>
      </c>
      <c r="H69" s="4">
        <v>3150</v>
      </c>
      <c r="I69" s="4">
        <v>4550</v>
      </c>
      <c r="J69" s="4">
        <v>19850</v>
      </c>
    </row>
    <row r="70" spans="1:10">
      <c r="A70" t="s">
        <v>36</v>
      </c>
      <c r="B70" s="4">
        <v>12000</v>
      </c>
      <c r="C70" s="4">
        <v>2250</v>
      </c>
      <c r="D70" s="4">
        <v>9000</v>
      </c>
      <c r="E70" s="4">
        <v>800</v>
      </c>
      <c r="F70" s="4"/>
      <c r="G70" s="4">
        <v>900</v>
      </c>
      <c r="H70" s="4">
        <v>700</v>
      </c>
      <c r="I70" s="4">
        <v>2600</v>
      </c>
      <c r="J70" s="4">
        <v>28250</v>
      </c>
    </row>
    <row r="71" spans="1:10">
      <c r="A71" t="s">
        <v>37</v>
      </c>
      <c r="B71" s="4"/>
      <c r="C71" s="4">
        <v>1800</v>
      </c>
      <c r="D71" s="4"/>
      <c r="E71" s="4">
        <v>80</v>
      </c>
      <c r="F71" s="4"/>
      <c r="G71" s="4">
        <v>1980</v>
      </c>
      <c r="H71" s="4">
        <v>3850</v>
      </c>
      <c r="I71" s="4">
        <v>5850</v>
      </c>
      <c r="J71" s="4">
        <v>13560</v>
      </c>
    </row>
    <row r="72" spans="1:10">
      <c r="A72" t="s">
        <v>34</v>
      </c>
      <c r="B72" s="4">
        <v>7200</v>
      </c>
      <c r="C72" s="4"/>
      <c r="D72" s="4">
        <v>13500</v>
      </c>
      <c r="E72" s="4">
        <v>640</v>
      </c>
      <c r="F72" s="4">
        <v>450</v>
      </c>
      <c r="G72" s="4">
        <v>1980</v>
      </c>
      <c r="H72" s="4">
        <v>1400</v>
      </c>
      <c r="I72" s="4"/>
      <c r="J72" s="4">
        <v>25170</v>
      </c>
    </row>
    <row r="73" spans="1:10">
      <c r="A73" t="s">
        <v>169</v>
      </c>
      <c r="B73" s="4">
        <v>22800</v>
      </c>
      <c r="C73" s="4">
        <v>6300</v>
      </c>
      <c r="D73" s="4">
        <v>27000</v>
      </c>
      <c r="E73" s="4">
        <v>1520</v>
      </c>
      <c r="F73" s="4">
        <v>1350</v>
      </c>
      <c r="G73" s="4">
        <v>5760</v>
      </c>
      <c r="H73" s="4">
        <v>9100</v>
      </c>
      <c r="I73" s="4">
        <v>13000</v>
      </c>
      <c r="J73" s="4">
        <v>86830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2026-09-20T04:45:04Z</dcterms:created>
  <dcterms:modified xsi:type="dcterms:W3CDTF">2026-10-07T04:29:30Z</dcterms:modified>
  <cp:category/>
  <cp:contentStatus/>
</cp:coreProperties>
</file>